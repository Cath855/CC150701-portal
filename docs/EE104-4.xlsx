
<file path=[Content_Types].xml><?xml version="1.0" encoding="utf-8"?>
<Types xmlns="http://schemas.openxmlformats.org/package/2006/content-type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9FD71FA8-F89E-4F87-A32C-B463851171B0}" xr6:coauthVersionLast="47" xr6:coauthVersionMax="47" xr10:uidLastSave="{00000000-0000-0000-0000-000000000000}"/>
  <bookViews>
    <workbookView xWindow="-110" yWindow="-110" windowWidth="19420" windowHeight="10300" xr2:uid="{700F9370-8AB0-400C-B10F-7EB6DB6B9EE1}"/>
  </bookViews>
  <sheets>
    <sheet name="Encuesta" sheetId="1" r:id="rId1"/>
    <sheet name="Anexo" sheetId="2" r:id="rId2"/>
  </sheets>
  <externalReferences>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S3" i="1" l="1"/>
  <c r="BR3" i="1"/>
  <c r="BQ3" i="1"/>
  <c r="BP3" i="1"/>
  <c r="BO3" i="1"/>
  <c r="BN3" i="1"/>
  <c r="BM3" i="1"/>
  <c r="BL3" i="1"/>
  <c r="BK3" i="1"/>
  <c r="BJ3" i="1"/>
  <c r="BI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C4236E7D-C288-4641-8975-7CC1B9F868E5}">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<sst xmlns="http://schemas.openxmlformats.org/spreadsheetml/2006/main" count="376" uniqueCount="263">
  <si>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</si>
  <si>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</si>
  <si>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</si>
  <si>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</si>
  <si>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</si>
  <si>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</si>
  <si>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</si>
  <si>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</si>
  <si>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</si>
  <si>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</si>
  <si>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</si>
  <si>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</si>
  <si>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</si>
  <si>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</si>
  <si>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</si>
  <si>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</si>
  <si>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</si>
  <si>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</si>
  <si>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</si>
  <si>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</si>
  <si>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</si>
  <si>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</si>
  <si>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</si>
  <si>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</si>
  <si>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</si>
  <si>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</si>
  <si>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</si>
  <si>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</si>
  <si>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</si>
  <si>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</si>
  <si>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</si>
  <si>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</si>
  <si>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</si>
  <si>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</si>
  <si>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</si>
  <si>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</si>
  <si>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</si>
  <si>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</si>
  <si>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</si>
  <si>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</si>
  <si>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</si>
  <si>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</si>
  <si>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</si>
  <si>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</si>
  <si>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</si>
  <si>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</si>
  <si>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</si>
  <si>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</si>
  <si>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</si>
  <si>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</si>
  <si>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</si>
  <si>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</si>
  <si>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</si>
  <si>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</si>
  <si>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</si>
  <si>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</si>
  <si>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</si>
  <si>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</si>
  <si>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</si>
  <si>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</si>
  <si>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</si>
  <si>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</si>
  <si>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</si>
  <si>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</si>
  <si>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</si>
  <si>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</si>
  <si>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15 de octubre de 2026</t>
  </si>
  <si>
    <t>SGPMIE - Estadística</t>
  </si>
  <si>
    <t>Dirección</t>
  </si>
  <si>
    <t>KR 7 14 78 PS 12</t>
  </si>
  <si>
    <t>Correo electrónico:</t>
  </si>
  <si>
    <t>expectativas-trim@banrep.gov.co</t>
  </si>
  <si>
    <t>Nota: Si alguna de las celdas cambia de color al momento de diligenciar el formulario, debe revisar sus datos.</t>
  </si>
  <si>
    <t>X</t>
  </si>
  <si>
    <t>Inflación Anual</t>
  </si>
  <si>
    <t>Esperada: %</t>
  </si>
  <si>
    <t>Cuanto  %</t>
  </si>
  <si>
    <t>No aplica</t>
  </si>
  <si>
    <t>(Marque con una X la opción  que usted considera adecuada)</t>
  </si>
  <si>
    <t>Opciones</t>
  </si>
  <si>
    <t>Alta</t>
  </si>
  <si>
    <t>Baja</t>
  </si>
  <si>
    <t xml:space="preserve">Ninguna de </t>
  </si>
  <si>
    <t>No</t>
  </si>
  <si>
    <t>las anteriores</t>
  </si>
  <si>
    <t>Responde</t>
  </si>
  <si>
    <t xml:space="preserve"> La disponibilidad de crédito es</t>
  </si>
  <si>
    <t>Superior</t>
  </si>
  <si>
    <t xml:space="preserve">Inferior </t>
  </si>
  <si>
    <t xml:space="preserve">Ningún cambio </t>
  </si>
  <si>
    <t>a la actual</t>
  </si>
  <si>
    <t>significativo</t>
  </si>
  <si>
    <t xml:space="preserve"> La disponibilidad de crédito</t>
  </si>
  <si>
    <t xml:space="preserve">Valor esperado </t>
  </si>
  <si>
    <t>IBR: %</t>
  </si>
  <si>
    <t>Tasa de Cambio</t>
  </si>
  <si>
    <t>Esperada: (Pesos x 1 US)</t>
  </si>
  <si>
    <t xml:space="preserve">Tasa de </t>
  </si>
  <si>
    <t>Crecimiento</t>
  </si>
  <si>
    <t xml:space="preserve">      (Marque con una X la opción que usted considera adecuada)</t>
  </si>
  <si>
    <t>Aumentarla</t>
  </si>
  <si>
    <t>Disminuirla</t>
  </si>
  <si>
    <t>Mantenerla</t>
  </si>
  <si>
    <t>P9: ¿Cuándo fue el último cambio en los precios de su principal producto? (Marque con una X la opción  que usted considera adecuada)</t>
  </si>
  <si>
    <t>Último cambio</t>
  </si>
  <si>
    <t>Menos de un mes</t>
  </si>
  <si>
    <t>De uno a tres meses atrás</t>
  </si>
  <si>
    <t>De tres a seis meses atrás</t>
  </si>
  <si>
    <t>De seis a doce meses atrás</t>
  </si>
  <si>
    <t>Entre un año y dos años atrás</t>
  </si>
  <si>
    <t>Más de dos años atrás</t>
  </si>
  <si>
    <t xml:space="preserve"> </t>
  </si>
  <si>
    <t>(Marque con una X la opción que usted considera adecuada)</t>
  </si>
  <si>
    <t>No se tiene en</t>
  </si>
  <si>
    <t>Moderadamente</t>
  </si>
  <si>
    <t>Importante</t>
  </si>
  <si>
    <t>Muy</t>
  </si>
  <si>
    <t>cuenta</t>
  </si>
  <si>
    <t>importante</t>
  </si>
  <si>
    <t xml:space="preserve"> Incremento costos laborales</t>
  </si>
  <si>
    <t xml:space="preserve"> Cambios en los impuestos</t>
  </si>
  <si>
    <t xml:space="preserve"> Inflación del año anterior</t>
  </si>
  <si>
    <t xml:space="preserve"> Expectativas de inflación que tiene en el momento</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</si>
  <si>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</si>
  <si>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</si>
  <si>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</si>
  <si>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</si>
  <si>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</si>
  <si>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</si>
  <si>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</si>
  <si>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</si>
  <si>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Variación anual: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</si>
  <si>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</si>
  <si>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</si>
  <si>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</si>
  <si>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</si>
  <si>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</si>
  <si>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</si>
  <si>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</si>
  <si>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¿Para el próximo trimestre, por qué medio le gustaría contestar esta encuesta?</t>
  </si>
  <si>
    <t>Fax</t>
  </si>
  <si>
    <t>Correo:</t>
  </si>
  <si>
    <t xml:space="preserve">Correo Electrónico: </t>
  </si>
  <si>
    <t>Página Web:</t>
  </si>
  <si>
    <t xml:space="preserve">INFORMACIÓN ACERCA DE QUIÉN RESPONDE  LA ENCUESTA  </t>
  </si>
  <si>
    <t>Nombre:</t>
  </si>
  <si>
    <t>ALMAVIVA</t>
  </si>
  <si>
    <t>Cargo</t>
  </si>
  <si>
    <t>JEFE DE CONTABILIDAD</t>
  </si>
  <si>
    <t>Entidad:</t>
  </si>
  <si>
    <t>e-mail:</t>
  </si>
  <si>
    <t>MADAZAT@ALMAVIVA.COM.CO</t>
  </si>
  <si>
    <t>Dirección:</t>
  </si>
  <si>
    <t>Kr 13A 35 38 Ps 11</t>
  </si>
  <si>
    <t>Teléfono:</t>
  </si>
  <si>
    <t>Ciudad:</t>
  </si>
  <si>
    <t>BOGOTA</t>
  </si>
  <si>
    <t>Fax:</t>
  </si>
  <si>
    <t>Cód. Entidad:</t>
  </si>
  <si>
    <t>EE104-4</t>
  </si>
  <si>
    <t>Fecha: (dd/mm/aa)</t>
  </si>
  <si>
    <t>Nota:  Favor actualizar datos de identificación si los que se encuentran prediligenciados no corresponden. Gracias.</t>
  </si>
  <si>
    <t xml:space="preserve"> Esta tasa de interés se cambió debido a que gradualmente los créditos comerciales (a empresas) con tasa variable son atados al IBR y no a la DTF como se hacía anteriormente.</t>
  </si>
  <si>
    <t xml:space="preserve">       </t>
  </si>
  <si>
    <t xml:space="preserve">  </t>
  </si>
  <si>
    <t>Teléfono:  3430832</t>
  </si>
  <si>
    <t>Fax:    2818531 - 2865936</t>
  </si>
  <si>
    <t>Utilice la  información  suministrada  y cualquiera otra que considere  relevante para responder las  preguntas.</t>
  </si>
  <si>
    <t>I. Precios y salarios</t>
  </si>
  <si>
    <t xml:space="preserve">Nota: En el cuadro 1 y gráfico 1 se presenta la evolución reciente de los crecimientos anuales de los precios al consumidor, es decir, la inflacion anual. </t>
  </si>
  <si>
    <t xml:space="preserve">A agosto de 2026  la inflación anual  se situó en: </t>
  </si>
  <si>
    <t>P1: ¿Cuál cree usted que será la tasa de inflación anual a:</t>
  </si>
  <si>
    <t xml:space="preserve"> - Dic/2026:</t>
  </si>
  <si>
    <t xml:space="preserve"> - Mar/2027:</t>
  </si>
  <si>
    <t xml:space="preserve"> - Jun/2027:</t>
  </si>
  <si>
    <t xml:space="preserve"> - Sep/2027:</t>
  </si>
  <si>
    <t xml:space="preserve"> - Sep/2028:</t>
  </si>
  <si>
    <t xml:space="preserve"> - Sep/2031:</t>
  </si>
  <si>
    <t xml:space="preserve">P2: ¿Cuánto prevé usted que será el incremento salarial promedio anual en términos porcentuales de su empresa para el: </t>
  </si>
  <si>
    <t xml:space="preserve"> - Año 2026</t>
  </si>
  <si>
    <t xml:space="preserve"> - Año 2027</t>
  </si>
  <si>
    <t>II.  Condiciones monetarias y crediticias</t>
  </si>
  <si>
    <t>P3: Dada la situación actual de la economía colombiana, considera usted que :</t>
  </si>
  <si>
    <t>P4: ¿Cómo cree usted que se mantendrá durante los próximos seis meses (Oct./2026 - Mar./2027):</t>
  </si>
  <si>
    <t>III. Tasas de interés y devaluación</t>
  </si>
  <si>
    <t>Nota: En el cuadro  2 y gráfico 2 se presenta la evolución de la tasa efectiva anual del indicador bancario de referencia (IBR) a un mes. En los cuadros y gráficos 3 y 4 se</t>
  </si>
  <si>
    <t xml:space="preserve">presenta el nivel de la tasa de cambio  y  la  devaluación  anual,  respectivamente. </t>
  </si>
  <si>
    <t xml:space="preserve">A septiembre de 2026 el IBR a un mes efectivo anual se situó en : </t>
  </si>
  <si>
    <t xml:space="preserve">P51: ¿Cómo cree usted que evolucionará el IBR a un mes a fin de las siguientes fechas? </t>
  </si>
  <si>
    <t>P6: Cúal cree usted que será el valor de la tasa representativa del mercado (valor del dólar) a fin de:</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</si>
  <si>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</si>
  <si>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</si>
  <si>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</si>
  <si>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</si>
  <si>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P8: Con relación a la planta de personal actual (incluya empleados permanentes y temporales) considera que su empresa podría:</t>
  </si>
  <si>
    <t xml:space="preserve"> Período:   (Ene./2027 - Mar./2027)</t>
  </si>
  <si>
    <t xml:space="preserve"> Período:   (Abr./2027 - Sep./2027)</t>
  </si>
  <si>
    <t>V.  Formación de precios y costos</t>
  </si>
  <si>
    <t>P10: Señale la importancia de los siguientes factores en la última revisión de precios de su empresa</t>
  </si>
  <si>
    <t xml:space="preserve">P11: ¿En qué porcentaje espera que se incrementen los costos de su empresa? </t>
  </si>
  <si>
    <t xml:space="preserve"> Período: (Oct./2026 - Sep./2027)</t>
  </si>
  <si>
    <t xml:space="preserve"> Período: (Oct./2027 - Sep./2028)</t>
  </si>
  <si>
    <t xml:space="preserve">P12: ¿En qué porcentaje espera se incrementen los precios de los productos y/o servicios que su empresa vende? </t>
  </si>
  <si>
    <t xml:space="preserve">VI. Seguimiento de la Encuesta </t>
  </si>
  <si>
    <t xml:space="preserve">P13: Pregunta acerca de la frecuencia de sus respuestas. Marque con una X las opciones que usted considera adecuadas para cada una de las </t>
  </si>
  <si>
    <t>1 A partir de la medición de abril de 2022 se pregunta por el IBR, Indicador bancario de referencia. En las mediciones anteriores se indagaba por expectativas de la tasa de interés DTF.</t>
  </si>
  <si>
    <t>Encuesta de expectativas - anexo 1</t>
  </si>
  <si>
    <t>Cuadro 1</t>
  </si>
  <si>
    <t>Gráfico 1</t>
  </si>
  <si>
    <t>(Var. Anual: Indice Precios al Consumidor Tot.)</t>
  </si>
  <si>
    <t>(%)</t>
  </si>
  <si>
    <t>Mes | Año</t>
  </si>
  <si>
    <t>Ene</t>
  </si>
  <si>
    <t>Feb</t>
  </si>
  <si>
    <t>Mar</t>
  </si>
  <si>
    <t>Abr</t>
  </si>
  <si>
    <t>May</t>
  </si>
  <si>
    <t>Jun</t>
  </si>
  <si>
    <t>Jul</t>
  </si>
  <si>
    <t>Ago</t>
  </si>
  <si>
    <t>Sep</t>
  </si>
  <si>
    <t>Oct</t>
  </si>
  <si>
    <t>Nov</t>
  </si>
  <si>
    <t>Dic</t>
  </si>
  <si>
    <t>Fuente: DANE</t>
  </si>
  <si>
    <t>Cuadro 2</t>
  </si>
  <si>
    <t>Gráfico 2</t>
  </si>
  <si>
    <t>Indicador bancario de referencia (IBR) -plazo a un mes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</si>
  <si>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</si>
  <si>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</si>
  <si>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</si>
  <si>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</si>
  <si>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</si>
  <si>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</si>
  <si>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</si>
  <si>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</si>
  <si>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</si>
  <si>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</si>
  <si>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</si>
  <si>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</si>
  <si>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</si>
  <si>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</si>
  <si>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</si>
  <si>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</si>
  <si>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</si>
  <si>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</si>
  <si>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</si>
  <si>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</si>
  <si>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</si>
  <si>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</si>
  <si>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</si>
  <si>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</si>
  <si>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</si>
  <si>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</si>
  <si>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</si>
  <si>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</si>
  <si>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</si>
  <si>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</si>
  <si>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</si>
  <si>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</si>
  <si>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p: provisional</t>
  </si>
  <si>
    <t>x</t>
  </si>
  <si>
    <t>TRANSPORTE Y 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</si>
</sst>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_ * #,##0_ ;_ * \-#,##0_ ;_ * &quot;-&quot;??_ ;_ @_ "/>
    <numFmt numFmtId="167" formatCode="_ * #,##0.0_ ;_ * \-#,##0.0_ ;_ * &quot;-&quot;??_ ;_ @_ "/>
    <numFmt numFmtId="168" formatCode="_-* #,##0_-;\-* #,##0_-;_-* &quot;-&quot;??_-;_-@_-"/>
    <numFmt numFmtId="169" formatCode="#,##0.0"/>
  </numFmts>
  <fonts count="33"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sz val="10"/>
      <color rgb="FFFFFFFF"/>
      <name val="Arial"/>
      <family val="2"/>
    </font>
    <font>
      <b/>
      <sz val="10"/>
      <color rgb="FFFFFFFF"/>
      <name val="Arial"/>
      <family val="2"/>
    </font>
    <font>
      <sz val="12"/>
      <color rgb="FFFFFFFF"/>
      <name val="Times New Roman"/>
      <family val="1"/>
    </font>
    <font>
      <b/>
      <sz val="12"/>
      <color rgb="FFFFFFFF"/>
      <name val="Times New Roman"/>
      <family val="1"/>
    </font>
    <font>
      <sz val="12"/>
      <color rgb="FFFF0000"/>
      <name val="Times New Roman"/>
      <family val="1"/>
    </font>
    <font>
      <sz val="10"/>
      <color rgb="FFFF0000"/>
      <name val="Arial"/>
      <family val="2"/>
    </font>
    <font>
      <b/>
      <sz val="12"/>
      <color rgb="FFFF0000"/>
      <name val="Times New Roman"/>
      <family val="1"/>
    </font>
    <font>
      <b/>
      <i/>
      <sz val="14"/>
      <color rgb="FF000000"/>
      <name val="Times New Roman"/>
      <family val="1"/>
    </font>
    <font>
      <sz val="10"/>
      <color rgb="FF000000"/>
      <name val="Arial"/>
      <family val="2"/>
    </font>
    <font>
      <b/>
      <i/>
      <sz val="14"/>
      <color rgb="FFFF0000"/>
      <name val="Times New Roman"/>
      <family val="1"/>
    </font>
    <font>
      <b/>
      <sz val="10"/>
      <name val="Times New Roman"/>
      <family val="1"/>
    </font>
    <font>
      <i/>
      <sz val="1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rgb="FF0000FF"/>
      <name val="Arial"/>
      <family val="2"/>
    </font>
    <font>
      <b/>
      <sz val="14"/>
      <name val="Times New Roman"/>
      <family val="1"/>
    </font>
    <font>
      <sz val="14"/>
      <name val="Times New Roman"/>
      <family val="1"/>
    </font>
    <font>
      <u/>
      <sz val="10"/>
      <name val="Arial"/>
      <family val="2"/>
    </font>
    <font>
      <b/>
      <sz val="10"/>
      <name val="Arial"/>
      <family val="2"/>
    </font>
    <font>
      <sz val="10"/>
      <name val="Times New Roman"/>
      <family val="1"/>
    </font>
    <font>
      <sz val="10"/>
      <color theme="1"/>
      <name val="Aptos Narrow"/>
      <family val="2"/>
      <scheme val="minor"/>
    </font>
    <font>
      <b/>
      <sz val="10"/>
      <color theme="1"/>
      <name val="Aptos Narrow"/>
      <family val="2"/>
      <scheme val="minor"/>
    </font>
    <font>
      <sz val="10"/>
      <color theme="0"/>
      <name val="Aptos Narrow"/>
      <family val="2"/>
      <scheme val="minor"/>
    </font>
    <font>
      <sz val="9"/>
      <color indexed="81"/>
      <name val="Tahoma"/>
      <family val="2"/>
    </font>
    <font>
      <u/>
      <sz val="10"/>
      <color indexed="12"/>
      <name val="Arial"/>
      <family val="2"/>
    </font>
    <font>
      <b/>
      <sz val="10"/>
      <name val="Calibri"/>
      <family val="2"/>
    </font>
  </fonts>
  <fills count="7">
    <fill>
      <patternFill patternType="none"/>
    </fill>
    <fill>
      <patternFill patternType="gray125"/>
    </fill>
    <fill>
      <patternFill patternType="solid">
        <fgColor rgb="FFFFFFFF"/>
        <bgColor rgb="FF000000"/>
      </patternFill>
    </fill>
    <fill>
      <patternFill patternType="solid">
        <fgColor rgb="FFC0C0C0"/>
        <bgColor rgb="FF000000"/>
      </patternFill>
    </fill>
    <fill>
      <patternFill patternType="solid">
        <fgColor rgb="FFBFBFBF"/>
        <bgColor rgb="FF000000"/>
      </patternFill>
    </fill>
    <fill>
      <patternFill patternType="solid">
        <fgColor indexed="9"/>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9" fontId="1" fillId="0" borderId="0" applyFont="0" applyFill="0" applyBorder="0" applyAlignment="0" applyProtection="0"/>
    <xf numFmtId="0" fontId="3" fillId="0" borderId="0"/>
    <xf numFmtId="0" fontId="31" fillId="0" borderId="0">
      <alignment vertical="top"/>
      <protection locked="0"/>
    </xf>
  </cellStyleXfs>
  <cellXfs count="146">
    <xf numFmtId="0" fontId="0" fillId="0" borderId="0" xfId="0"/>
    <xf numFmtId="164" fontId="4" fillId="2" borderId="0" xfId="3" applyNumberFormat="1" applyFont="1" applyFill="1"/>
    <xf numFmtId="165" fontId="5" fillId="2" borderId="0" xfId="3" applyNumberFormat="1" applyFont="1" applyFill="1" applyAlignment="1">
      <alignment horizontal="center"/>
    </xf>
    <xf numFmtId="0" fontId="4" fillId="2" borderId="0" xfId="3" applyFont="1" applyFill="1"/>
    <xf numFmtId="0" fontId="6" fillId="2" borderId="0" xfId="3" applyFont="1" applyFill="1"/>
    <xf numFmtId="0" fontId="7" fillId="2" borderId="0" xfId="3" applyFont="1" applyFill="1"/>
    <xf numFmtId="0" fontId="8" fillId="2" borderId="0" xfId="3" applyFont="1" applyFill="1"/>
    <xf numFmtId="0" fontId="9" fillId="2" borderId="0" xfId="3" applyFont="1" applyFill="1"/>
    <xf numFmtId="0" fontId="10" fillId="2" borderId="0" xfId="3" applyFont="1" applyFill="1"/>
    <xf numFmtId="0" fontId="11" fillId="2" borderId="0" xfId="3" applyFont="1" applyFill="1" applyAlignment="1">
      <alignment horizontal="centerContinuous"/>
    </xf>
    <xf numFmtId="0" fontId="12" fillId="2" borderId="0" xfId="3" applyFont="1" applyFill="1"/>
    <xf numFmtId="0" fontId="13" fillId="2" borderId="0" xfId="3" applyFont="1" applyFill="1" applyAlignment="1">
      <alignment horizontal="centerContinuous"/>
    </xf>
    <xf numFmtId="0" fontId="14" fillId="2" borderId="0" xfId="3" applyFont="1" applyFill="1" applyAlignment="1">
      <alignment horizontal="centerContinuous"/>
    </xf>
    <xf numFmtId="0" fontId="15" fillId="2" borderId="0" xfId="3" applyFont="1" applyFill="1" applyAlignment="1">
      <alignment horizontal="centerContinuous"/>
    </xf>
    <xf numFmtId="0" fontId="16" fillId="2" borderId="0" xfId="3" applyFont="1" applyFill="1"/>
    <xf numFmtId="0" fontId="3" fillId="2" borderId="0" xfId="3" applyFill="1"/>
    <xf numFmtId="0" fontId="16" fillId="2" borderId="0" xfId="3" applyFont="1" applyFill="1" applyAlignment="1">
      <alignment horizontal="center"/>
    </xf>
    <xf numFmtId="0" fontId="17" fillId="2" borderId="0" xfId="3" applyFont="1" applyFill="1"/>
    <xf numFmtId="0" fontId="18" fillId="2" borderId="0" xfId="3" applyFont="1" applyFill="1" applyAlignment="1">
      <alignment horizontal="center"/>
    </xf>
    <xf numFmtId="0" fontId="19" fillId="2" borderId="0" xfId="3" applyFont="1" applyFill="1" applyAlignment="1">
      <alignment horizontal="center"/>
    </xf>
    <xf numFmtId="0" fontId="20" fillId="3" borderId="0" xfId="3" applyFont="1" applyFill="1"/>
    <xf numFmtId="0" fontId="16" fillId="3" borderId="0" xfId="3" applyFont="1" applyFill="1"/>
    <xf numFmtId="0" fontId="21" fillId="3" borderId="0" xfId="2" applyFont="1" applyFill="1" applyBorder="1" applyAlignment="1" applyProtection="1"/>
    <xf numFmtId="0" fontId="22" fillId="2" borderId="0" xfId="3" applyFont="1" applyFill="1"/>
    <xf numFmtId="0" fontId="23" fillId="2" borderId="0" xfId="3" applyFont="1" applyFill="1"/>
    <xf numFmtId="0" fontId="20" fillId="2" borderId="0" xfId="3" applyFont="1" applyFill="1"/>
    <xf numFmtId="10" fontId="20" fillId="4" borderId="0" xfId="3" applyNumberFormat="1" applyFont="1" applyFill="1" applyAlignment="1">
      <alignment horizontal="left"/>
    </xf>
    <xf numFmtId="10" fontId="16" fillId="3" borderId="0" xfId="3" applyNumberFormat="1" applyFont="1" applyFill="1"/>
    <xf numFmtId="10" fontId="16" fillId="2" borderId="0" xfId="4" applyNumberFormat="1" applyFont="1" applyFill="1" applyBorder="1" applyProtection="1"/>
    <xf numFmtId="0" fontId="24" fillId="0" borderId="0" xfId="2" applyFont="1" applyFill="1" applyBorder="1" applyAlignment="1" applyProtection="1"/>
    <xf numFmtId="0" fontId="20" fillId="3" borderId="1" xfId="3" applyFont="1" applyFill="1" applyBorder="1" applyAlignment="1">
      <alignment horizontal="center"/>
    </xf>
    <xf numFmtId="0" fontId="20" fillId="3" borderId="2" xfId="3" applyFont="1" applyFill="1" applyBorder="1" applyAlignment="1">
      <alignment horizontal="center"/>
    </xf>
    <xf numFmtId="17" fontId="25" fillId="2" borderId="0" xfId="3" applyNumberFormat="1" applyFont="1" applyFill="1"/>
    <xf numFmtId="164" fontId="16" fillId="2" borderId="0" xfId="3" applyNumberFormat="1" applyFont="1" applyFill="1"/>
    <xf numFmtId="43" fontId="25" fillId="2" borderId="0" xfId="1" applyFont="1" applyFill="1" applyBorder="1" applyProtection="1"/>
    <xf numFmtId="0" fontId="16" fillId="2" borderId="3" xfId="3" applyFont="1" applyFill="1" applyBorder="1" applyAlignment="1" applyProtection="1">
      <alignment horizontal="center"/>
      <protection locked="0"/>
    </xf>
    <xf numFmtId="0" fontId="20" fillId="3" borderId="4" xfId="3" applyFont="1" applyFill="1" applyBorder="1" applyAlignment="1">
      <alignment horizontal="center"/>
    </xf>
    <xf numFmtId="0" fontId="25" fillId="2" borderId="0" xfId="3" applyFont="1" applyFill="1" applyAlignment="1">
      <alignment horizontal="left"/>
    </xf>
    <xf numFmtId="0" fontId="3" fillId="2" borderId="3" xfId="3" applyFill="1" applyBorder="1"/>
    <xf numFmtId="0" fontId="20" fillId="2" borderId="0" xfId="3" applyFont="1" applyFill="1" applyAlignment="1">
      <alignment horizontal="centerContinuous"/>
    </xf>
    <xf numFmtId="0" fontId="16" fillId="2" borderId="0" xfId="3" applyFont="1" applyFill="1" applyAlignment="1">
      <alignment horizontal="centerContinuous"/>
    </xf>
    <xf numFmtId="0" fontId="20" fillId="3" borderId="3" xfId="3" applyFont="1" applyFill="1" applyBorder="1" applyAlignment="1">
      <alignment horizontal="centerContinuous"/>
    </xf>
    <xf numFmtId="0" fontId="16" fillId="3" borderId="5" xfId="3" applyFont="1" applyFill="1" applyBorder="1" applyAlignment="1">
      <alignment horizontal="centerContinuous"/>
    </xf>
    <xf numFmtId="0" fontId="20" fillId="3" borderId="6" xfId="3" applyFont="1" applyFill="1" applyBorder="1" applyAlignment="1">
      <alignment horizontal="center"/>
    </xf>
    <xf numFmtId="0" fontId="20" fillId="3" borderId="7" xfId="3" applyFont="1" applyFill="1" applyBorder="1"/>
    <xf numFmtId="0" fontId="20" fillId="3" borderId="7" xfId="3" applyFont="1" applyFill="1" applyBorder="1" applyAlignment="1">
      <alignment horizontal="center"/>
    </xf>
    <xf numFmtId="0" fontId="20" fillId="3" borderId="8" xfId="3" applyFont="1" applyFill="1" applyBorder="1" applyAlignment="1">
      <alignment horizontal="center"/>
    </xf>
    <xf numFmtId="0" fontId="16" fillId="2" borderId="7" xfId="3" applyFont="1" applyFill="1" applyBorder="1" applyAlignment="1" applyProtection="1">
      <alignment horizontal="center"/>
      <protection locked="0"/>
    </xf>
    <xf numFmtId="0" fontId="16" fillId="2" borderId="8" xfId="3" applyFont="1" applyFill="1" applyBorder="1" applyAlignment="1" applyProtection="1">
      <alignment horizontal="center"/>
      <protection locked="0"/>
    </xf>
    <xf numFmtId="0" fontId="20" fillId="3" borderId="9" xfId="3" applyFont="1" applyFill="1" applyBorder="1" applyAlignment="1">
      <alignment horizontal="centerContinuous"/>
    </xf>
    <xf numFmtId="0" fontId="3" fillId="3" borderId="3" xfId="3" applyFill="1" applyBorder="1" applyAlignment="1">
      <alignment horizontal="centerContinuous"/>
    </xf>
    <xf numFmtId="0" fontId="20" fillId="3" borderId="10" xfId="3" applyFont="1" applyFill="1" applyBorder="1" applyAlignment="1">
      <alignment horizontal="center"/>
    </xf>
    <xf numFmtId="0" fontId="16" fillId="2" borderId="9" xfId="3" applyFont="1" applyFill="1" applyBorder="1" applyAlignment="1" applyProtection="1">
      <alignment horizontal="center"/>
      <protection locked="0"/>
    </xf>
    <xf numFmtId="0" fontId="16" fillId="2" borderId="5" xfId="3" applyFont="1" applyFill="1" applyBorder="1" applyAlignment="1" applyProtection="1">
      <alignment horizontal="center"/>
      <protection locked="0"/>
    </xf>
    <xf numFmtId="43" fontId="16" fillId="2" borderId="0" xfId="5" applyFont="1" applyFill="1" applyBorder="1" applyProtection="1"/>
    <xf numFmtId="0" fontId="20" fillId="2" borderId="0" xfId="3" applyFont="1" applyFill="1" applyAlignment="1">
      <alignment horizontal="center"/>
    </xf>
    <xf numFmtId="0" fontId="20" fillId="2" borderId="0" xfId="3" applyFont="1" applyFill="1" applyAlignment="1">
      <alignment horizontal="left"/>
    </xf>
    <xf numFmtId="0" fontId="20" fillId="3" borderId="1" xfId="3" applyFont="1" applyFill="1" applyBorder="1" applyAlignment="1">
      <alignment horizontal="center" vertical="center"/>
    </xf>
    <xf numFmtId="0" fontId="20" fillId="3" borderId="7" xfId="3" applyFont="1" applyFill="1" applyBorder="1" applyAlignment="1">
      <alignment horizontal="center" vertical="center" wrapText="1"/>
    </xf>
    <xf numFmtId="0" fontId="25" fillId="2" borderId="0" xfId="3" applyFont="1" applyFill="1"/>
    <xf numFmtId="0" fontId="20" fillId="3" borderId="3" xfId="3" applyFont="1" applyFill="1" applyBorder="1" applyAlignment="1">
      <alignment horizontal="center"/>
    </xf>
    <xf numFmtId="0" fontId="20" fillId="2" borderId="0" xfId="3" applyFont="1" applyFill="1" applyAlignment="1">
      <alignment vertical="center"/>
    </xf>
    <xf numFmtId="0" fontId="16" fillId="2" borderId="1" xfId="3" applyFont="1" applyFill="1" applyBorder="1" applyAlignment="1" applyProtection="1">
      <alignment horizontal="center"/>
      <protection locked="0"/>
    </xf>
    <xf numFmtId="164" fontId="16" fillId="2" borderId="0" xfId="3" applyNumberFormat="1" applyFont="1" applyFill="1" applyAlignment="1">
      <alignment horizontal="center"/>
    </xf>
    <xf numFmtId="0" fontId="20" fillId="3" borderId="10" xfId="3" applyFont="1" applyFill="1" applyBorder="1" applyAlignment="1">
      <alignment horizontal="center" vertical="center" wrapText="1"/>
    </xf>
    <xf numFmtId="0" fontId="20" fillId="3" borderId="2" xfId="3" applyFont="1" applyFill="1" applyBorder="1" applyAlignment="1">
      <alignment horizontal="center" vertical="center" wrapText="1"/>
    </xf>
    <xf numFmtId="0" fontId="20" fillId="3" borderId="6" xfId="3" applyFont="1" applyFill="1" applyBorder="1" applyAlignment="1">
      <alignment horizontal="center" vertical="center" wrapText="1"/>
    </xf>
    <xf numFmtId="0" fontId="20" fillId="3" borderId="11" xfId="3" applyFont="1" applyFill="1" applyBorder="1" applyAlignment="1">
      <alignment horizontal="center" vertical="center" wrapText="1"/>
    </xf>
    <xf numFmtId="0" fontId="20" fillId="3" borderId="7" xfId="3" applyFont="1" applyFill="1" applyBorder="1" applyAlignment="1">
      <alignment vertical="center" wrapText="1"/>
    </xf>
    <xf numFmtId="0" fontId="20" fillId="3" borderId="8" xfId="3" applyFont="1" applyFill="1" applyBorder="1" applyAlignment="1">
      <alignment horizontal="center" vertical="center" wrapText="1"/>
    </xf>
    <xf numFmtId="0" fontId="16" fillId="2" borderId="0" xfId="3" applyFont="1" applyFill="1" applyAlignment="1">
      <alignment horizontal="left" vertical="top"/>
    </xf>
    <xf numFmtId="0" fontId="16" fillId="2" borderId="0" xfId="3" applyFont="1" applyFill="1" applyAlignment="1">
      <alignment horizontal="left" vertical="top" wrapText="1"/>
    </xf>
    <xf numFmtId="0" fontId="16" fillId="2" borderId="3" xfId="3" applyFont="1" applyFill="1" applyBorder="1" applyAlignment="1" applyProtection="1">
      <alignment horizontal="center" vertical="center"/>
      <protection locked="0"/>
    </xf>
    <xf numFmtId="0" fontId="16" fillId="0" borderId="0" xfId="3" applyFont="1" applyAlignment="1">
      <alignment horizontal="left" vertical="top"/>
    </xf>
    <xf numFmtId="0" fontId="16" fillId="0" borderId="0" xfId="3" applyFont="1" applyAlignment="1">
      <alignment horizontal="left" vertical="top" wrapText="1"/>
    </xf>
    <xf numFmtId="0" fontId="20" fillId="3" borderId="9" xfId="3" applyFont="1" applyFill="1" applyBorder="1"/>
    <xf numFmtId="0" fontId="16" fillId="3" borderId="12" xfId="3" applyFont="1" applyFill="1" applyBorder="1"/>
    <xf numFmtId="0" fontId="16" fillId="3" borderId="5" xfId="3" applyFont="1" applyFill="1" applyBorder="1"/>
    <xf numFmtId="0" fontId="20" fillId="3" borderId="9" xfId="3" applyFont="1" applyFill="1" applyBorder="1" applyAlignment="1">
      <alignment horizontal="center"/>
    </xf>
    <xf numFmtId="0" fontId="16" fillId="3" borderId="5" xfId="3" applyFont="1" applyFill="1" applyBorder="1" applyAlignment="1">
      <alignment horizontal="center"/>
    </xf>
    <xf numFmtId="0" fontId="16" fillId="3" borderId="3" xfId="3" applyFont="1" applyFill="1" applyBorder="1" applyAlignment="1">
      <alignment horizontal="center"/>
    </xf>
    <xf numFmtId="0" fontId="16" fillId="2" borderId="3" xfId="3" applyFont="1" applyFill="1" applyBorder="1" applyAlignment="1">
      <alignment horizontal="left"/>
    </xf>
    <xf numFmtId="0" fontId="16" fillId="2" borderId="0" xfId="3" applyFont="1" applyFill="1" applyAlignment="1" applyProtection="1">
      <alignment horizontal="left"/>
      <protection locked="0"/>
    </xf>
    <xf numFmtId="0" fontId="21" fillId="2" borderId="0" xfId="2" applyFont="1" applyFill="1" applyBorder="1" applyAlignment="1" applyProtection="1">
      <alignment horizontal="left"/>
      <protection locked="0"/>
    </xf>
    <xf numFmtId="14" fontId="16" fillId="2" borderId="0" xfId="3" applyNumberFormat="1" applyFont="1" applyFill="1" applyAlignment="1" applyProtection="1">
      <alignment horizontal="left"/>
      <protection locked="0"/>
    </xf>
    <xf numFmtId="14" fontId="16" fillId="2" borderId="0" xfId="3" applyNumberFormat="1" applyFont="1" applyFill="1"/>
    <xf numFmtId="0" fontId="22" fillId="3" borderId="0" xfId="3" applyFont="1" applyFill="1"/>
    <xf numFmtId="0" fontId="16" fillId="0" borderId="0" xfId="0" applyFont="1" applyAlignment="1">
      <alignment vertical="center"/>
    </xf>
    <xf numFmtId="0" fontId="26" fillId="2" borderId="0" xfId="3" applyFont="1" applyFill="1"/>
    <xf numFmtId="0" fontId="27" fillId="5" borderId="0" xfId="3" applyFont="1" applyFill="1"/>
    <xf numFmtId="0" fontId="28" fillId="5" borderId="0" xfId="3" applyFont="1" applyFill="1" applyAlignment="1">
      <alignment horizontal="centerContinuous"/>
    </xf>
    <xf numFmtId="0" fontId="27" fillId="5" borderId="0" xfId="3" applyFont="1" applyFill="1" applyAlignment="1">
      <alignment horizontal="center"/>
    </xf>
    <xf numFmtId="0" fontId="27" fillId="5" borderId="0" xfId="3" applyFont="1" applyFill="1" applyAlignment="1">
      <alignment horizontal="centerContinuous"/>
    </xf>
    <xf numFmtId="0" fontId="28" fillId="5" borderId="0" xfId="3" applyFont="1" applyFill="1" applyAlignment="1">
      <alignment horizontal="center"/>
    </xf>
    <xf numFmtId="0" fontId="28" fillId="5" borderId="13" xfId="3" applyFont="1" applyFill="1" applyBorder="1" applyAlignment="1">
      <alignment horizontal="center"/>
    </xf>
    <xf numFmtId="0" fontId="27" fillId="6" borderId="0" xfId="3" applyFont="1" applyFill="1"/>
    <xf numFmtId="0" fontId="29" fillId="5" borderId="0" xfId="3" applyFont="1" applyFill="1"/>
    <xf numFmtId="2" fontId="27" fillId="5" borderId="0" xfId="3" applyNumberFormat="1" applyFont="1" applyFill="1"/>
    <xf numFmtId="0" fontId="27" fillId="5" borderId="13" xfId="3" applyFont="1" applyFill="1" applyBorder="1"/>
    <xf numFmtId="2" fontId="27" fillId="6" borderId="0" xfId="3" applyNumberFormat="1" applyFont="1" applyFill="1"/>
    <xf numFmtId="0" fontId="27" fillId="6" borderId="13" xfId="3" applyFont="1" applyFill="1" applyBorder="1"/>
    <xf numFmtId="2" fontId="27" fillId="6" borderId="13" xfId="3" applyNumberFormat="1" applyFont="1" applyFill="1" applyBorder="1"/>
    <xf numFmtId="0" fontId="27" fillId="5" borderId="13" xfId="3" applyFont="1" applyFill="1" applyBorder="1" applyAlignment="1">
      <alignment horizontal="center"/>
    </xf>
    <xf numFmtId="168" fontId="27" fillId="5" borderId="0" xfId="5" applyNumberFormat="1" applyFont="1" applyFill="1"/>
    <xf numFmtId="2" fontId="27" fillId="5" borderId="13" xfId="3" applyNumberFormat="1" applyFont="1" applyFill="1" applyBorder="1"/>
    <xf numFmtId="0" fontId="27" fillId="5" borderId="0" xfId="3" applyFont="1" applyFill="1" applyAlignment="1">
      <alignment horizontal="right"/>
    </xf>
    <xf numFmtId="0" fontId="27" fillId="5" borderId="0" xfId="3" applyFont="1" applyFill="1" applyAlignment="1">
      <alignment horizontal="left"/>
    </xf>
    <xf numFmtId="2" fontId="27" fillId="5" borderId="0" xfId="3" applyNumberFormat="1" applyFont="1" applyFill="1" applyAlignment="1">
      <alignment horizontal="right"/>
    </xf>
    <xf numFmtId="0" fontId="27" fillId="0" borderId="0" xfId="3" applyFont="1"/>
    <xf numFmtId="0" fontId="27" fillId="5" borderId="0" xfId="3" quotePrefix="1" applyFont="1" applyFill="1" applyAlignment="1">
      <alignment horizontal="left"/>
    </xf>
    <xf numFmtId="169" fontId="27" fillId="5" borderId="0" xfId="3" applyNumberFormat="1" applyFont="1" applyFill="1" applyAlignment="1">
      <alignment horizontal="center"/>
    </xf>
    <xf numFmtId="10" fontId="27" fillId="6" borderId="0" xfId="4" applyNumberFormat="1" applyFont="1" applyFill="1"/>
    <xf numFmtId="43" fontId="27" fillId="6" borderId="0" xfId="5" applyFont="1" applyFill="1"/>
    <xf numFmtId="10" fontId="16" fillId="2" borderId="3" xfId="6" applyNumberFormat="1" applyFont="1" applyFill="1" applyBorder="1" applyAlignment="1" applyProtection="1">
      <alignment horizontal="center"/>
      <protection locked="0"/>
    </xf>
    <xf numFmtId="10" fontId="16" fillId="2" borderId="7" xfId="6" applyNumberFormat="1" applyFont="1" applyFill="1" applyBorder="1" applyAlignment="1" applyProtection="1">
      <alignment horizontal="center"/>
      <protection locked="0"/>
    </xf>
    <xf numFmtId="0" fontId="28" fillId="5" borderId="0" xfId="3" applyFont="1" applyFill="1" applyAlignment="1">
      <alignment horizontal="center"/>
    </xf>
    <xf numFmtId="0" fontId="28" fillId="5" borderId="0" xfId="3" applyFont="1" applyFill="1" applyAlignment="1">
      <alignment horizontal="right"/>
    </xf>
    <xf numFmtId="0" fontId="27" fillId="5" borderId="0" xfId="3" applyFont="1" applyFill="1" applyAlignment="1">
      <alignment horizontal="center"/>
    </xf>
    <xf numFmtId="0" fontId="28" fillId="5" borderId="13" xfId="3" applyFont="1" applyFill="1" applyBorder="1" applyAlignment="1">
      <alignment horizontal="center"/>
    </xf>
    <xf numFmtId="0" fontId="28" fillId="5" borderId="0" xfId="3" quotePrefix="1" applyFont="1" applyFill="1" applyAlignment="1">
      <alignment horizontal="center"/>
    </xf>
    <xf numFmtId="0" fontId="27" fillId="5" borderId="13" xfId="3" quotePrefix="1" applyFont="1" applyFill="1" applyBorder="1" applyAlignment="1">
      <alignment horizontal="center"/>
    </xf>
    <xf numFmtId="0" fontId="27" fillId="5" borderId="13" xfId="3" applyFont="1" applyFill="1" applyBorder="1" applyAlignment="1">
      <alignment horizontal="center"/>
    </xf>
    <xf numFmtId="0" fontId="27" fillId="6" borderId="0" xfId="3" applyFont="1" applyFill="1"/>
    <xf numFmtId="0" fontId="3" fillId="2" borderId="0" xfId="3" applyFont="1" applyFill="1"/>
    <xf numFmtId="15" fontId="25" fillId="2" borderId="0" xfId="3" applyNumberFormat="1" applyFont="1" applyFill="1"/>
    <xf numFmtId="1" fontId="3" fillId="2" borderId="0" xfId="3" applyNumberFormat="1" applyFont="1" applyFill="1"/>
    <xf numFmtId="15" fontId="3" fillId="2" borderId="0" xfId="3" applyNumberFormat="1" applyFont="1" applyFill="1"/>
    <xf numFmtId="0" fontId="32" fillId="2" borderId="0" xfId="0" applyFont="1" applyFill="1" applyAlignment="1">
      <alignment horizontal="left"/>
    </xf>
    <xf numFmtId="43" fontId="32" fillId="2" borderId="0" xfId="1" applyFont="1" applyFill="1" applyBorder="1" applyAlignment="1" applyProtection="1">
      <alignment horizontal="left"/>
    </xf>
    <xf numFmtId="166" fontId="32" fillId="2" borderId="0" xfId="1" applyNumberFormat="1" applyFont="1" applyFill="1" applyBorder="1" applyAlignment="1" applyProtection="1">
      <alignment horizontal="left"/>
    </xf>
    <xf numFmtId="167" fontId="32" fillId="2" borderId="0" xfId="1" applyNumberFormat="1" applyFont="1" applyFill="1" applyBorder="1" applyAlignment="1">
      <alignment horizontal="left"/>
    </xf>
    <xf numFmtId="14" fontId="32" fillId="2" borderId="0" xfId="0" applyNumberFormat="1" applyFont="1" applyFill="1" applyAlignment="1">
      <alignment horizontal="left"/>
    </xf>
    <xf numFmtId="1" fontId="16" fillId="2" borderId="3" xfId="6" applyNumberFormat="1" applyFont="1" applyFill="1" applyBorder="1" applyAlignment="1" applyProtection="1">
      <alignment horizontal="center"/>
      <protection locked="0"/>
    </xf>
    <xf numFmtId="2" fontId="16" fillId="2" borderId="3" xfId="6" quotePrefix="1" applyNumberFormat="1" applyFont="1" applyFill="1" applyBorder="1" applyAlignment="1" applyProtection="1">
      <alignment horizontal="center"/>
      <protection locked="0"/>
    </xf>
    <xf numFmtId="2" fontId="16" fillId="2" borderId="3" xfId="6" applyNumberFormat="1" applyFont="1" applyFill="1" applyBorder="1" applyAlignment="1" applyProtection="1">
      <alignment horizontal="center"/>
      <protection locked="0"/>
    </xf>
    <xf numFmtId="2" fontId="16" fillId="0" borderId="3" xfId="6" applyNumberFormat="1" applyFont="1" applyBorder="1" applyAlignment="1" applyProtection="1">
      <alignment horizontal="center"/>
      <protection locked="0"/>
    </xf>
    <xf numFmtId="10" fontId="16" fillId="2" borderId="0" xfId="6" quotePrefix="1" applyNumberFormat="1" applyFont="1" applyFill="1" applyBorder="1" applyAlignment="1" applyProtection="1">
      <alignment horizontal="center"/>
      <protection locked="0"/>
    </xf>
    <xf numFmtId="10" fontId="16" fillId="2" borderId="0" xfId="6" applyNumberFormat="1" applyFont="1" applyFill="1" applyBorder="1" applyAlignment="1" applyProtection="1">
      <alignment horizontal="center"/>
      <protection locked="0"/>
    </xf>
    <xf numFmtId="10" fontId="16" fillId="0" borderId="0" xfId="6" applyNumberFormat="1" applyFont="1" applyBorder="1" applyAlignment="1" applyProtection="1">
      <alignment horizontal="center"/>
      <protection locked="0"/>
    </xf>
    <xf numFmtId="2" fontId="16" fillId="2" borderId="7" xfId="6" applyNumberFormat="1" applyFont="1" applyFill="1" applyBorder="1" applyAlignment="1" applyProtection="1">
      <alignment horizontal="center"/>
      <protection locked="0"/>
    </xf>
    <xf numFmtId="1" fontId="16" fillId="2" borderId="1" xfId="6" applyNumberFormat="1" applyFont="1" applyFill="1" applyBorder="1" applyAlignment="1" applyProtection="1">
      <alignment horizontal="center"/>
      <protection locked="0"/>
    </xf>
    <xf numFmtId="0" fontId="25" fillId="6" borderId="0" xfId="3" applyFont="1" applyFill="1"/>
    <xf numFmtId="0" fontId="25" fillId="6" borderId="0" xfId="3" applyFont="1" applyFill="1" applyAlignment="1">
      <alignment horizontal="right"/>
    </xf>
    <xf numFmtId="0" fontId="3" fillId="6" borderId="0" xfId="3" applyFill="1"/>
    <xf numFmtId="0" fontId="25" fillId="6" borderId="0" xfId="3" applyFont="1" applyFill="1" applyAlignment="1">
      <alignment horizontal="left"/>
    </xf>
    <xf numFmtId="14" fontId="25" fillId="6" borderId="0" xfId="3" applyNumberFormat="1" applyFont="1" applyFill="1"/>
  </cellXfs>
  <cellStyles count="9">
    <cellStyle name="Hipervínculo" xfId="2" builtinId="8"/>
    <cellStyle name="Hipervínculo 2" xfId="8" xr:uid="{247D3E9A-853A-421E-BF7A-6D46DB8BC481}"/>
    <cellStyle name="Millares" xfId="1" builtinId="3"/>
    <cellStyle name="Millares 2" xfId="5" xr:uid="{7FDE20A6-0966-44AD-B9D1-B96596C51029}"/>
    <cellStyle name="Normal" xfId="0" builtinId="0"/>
    <cellStyle name="Normal 2" xfId="3" xr:uid="{BAFD5C56-5BDC-4FEA-B232-3EF2FE95F777}"/>
    <cellStyle name="Normal 2 2" xfId="7" xr:uid="{176A8A3E-5080-48A7-BE87-AFB10EAA3955}"/>
    <cellStyle name="Porcentaje" xfId="6" builtinId="5"/>
    <cellStyle name="Porcentaje 3" xfId="4" xr:uid="{89DC39C7-D2B8-4648-BDCB-21407B9B3947}"/>
  </cellStyles>
  <dxfs count="44">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[1]Mes!$B$1</c:f>
              <c:strCache>
                <c:ptCount val="1"/>
                <c:pt idx="0">
                  <c:v>Inflacion_anual</c:v>
                </c:pt>
              </c:strCache>
            </c:strRef>
          </c:tx>
          <c:spPr>
            <a:ln w="28575" cap="rnd">
              <a:solidFill>
                <a:schemeClr val="accent1"/>
              </a:solidFill>
              <a:round/>
            </a:ln>
            <a:effectLst/>
          </c:spPr>
          <c:marker>
            <c:symbol val="none"/>
          </c:marker>
          <c:cat>
            <c:numRef>
              <c:f>[1]Mes!$A$2:$A$203</c:f>
              <c:numCache>
                <c:formatCode>General</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[1]Mes!$B$2:$B$203</c:f>
              <c:numCache>
                <c:formatCode>General</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CDEC-4026-BA70-18FC54429584}"/>
            </c:ext>
          </c:extLst>
        </c:ser>
        <c:dLbls>
          <c:showLegendKey val="0"/>
          <c:showVal val="0"/>
          <c:showCatName val="0"/>
          <c:showSerName val="0"/>
          <c:showPercent val="0"/>
          <c:showBubbleSize val="0"/>
        </c:dLbls>
        <c:smooth val="0"/>
        <c:axId val="859944128"/>
        <c:axId val="1"/>
      </c:lineChart>
      <c:cat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[1]Mes!$C$1</c:f>
              <c:strCache>
                <c:ptCount val="1"/>
                <c:pt idx="0">
                  <c:v>IBR_efectiva_anual_FinD</c:v>
                </c:pt>
              </c:strCache>
            </c:strRef>
          </c:tx>
          <c:spPr>
            <a:ln w="28575" cap="rnd">
              <a:solidFill>
                <a:schemeClr val="accent1"/>
              </a:solidFill>
              <a:round/>
            </a:ln>
            <a:effectLst/>
          </c:spPr>
          <c:marker>
            <c:symbol val="none"/>
          </c:marker>
          <c:cat>
            <c:numRef>
              <c:f>[1]Mes!$A$2:$A$203</c:f>
              <c:numCache>
                <c:formatCode>General</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[1]Mes!$C$2:$C$203</c:f>
              <c:numCache>
                <c:formatCode>General</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D81-41F4-80D0-753B827DD17E}"/>
            </c:ext>
          </c:extLst>
        </c:ser>
        <c:dLbls>
          <c:showLegendKey val="0"/>
          <c:showVal val="0"/>
          <c:showCatName val="0"/>
          <c:showSerName val="0"/>
          <c:showPercent val="0"/>
          <c:showBubbleSize val="0"/>
        </c:dLbls>
        <c:smooth val="0"/>
        <c:axId val="859934144"/>
        <c:axId val="1"/>
      </c:lineChart>
      <c:cat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[1]Mes!$D$1</c:f>
              <c:strCache>
                <c:ptCount val="1"/>
                <c:pt idx="0">
                  <c:v>TRM_pesos_dólar</c:v>
                </c:pt>
              </c:strCache>
            </c:strRef>
          </c:tx>
          <c:spPr>
            <a:ln w="28575" cap="rnd">
              <a:solidFill>
                <a:schemeClr val="accent1"/>
              </a:solidFill>
              <a:round/>
            </a:ln>
            <a:effectLst/>
          </c:spPr>
          <c:marker>
            <c:symbol val="none"/>
          </c:marker>
          <c:cat>
            <c:numRef>
              <c:f>[1]Mes!$A$2:$A$203</c:f>
              <c:numCache>
                <c:formatCode>General</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[1]Mes!$D$2:$D$203</c:f>
              <c:numCache>
                <c:formatCode>General</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02E6-4B9E-9E09-2265C3DF503F}"/>
            </c:ext>
          </c:extLst>
        </c:ser>
        <c:dLbls>
          <c:showLegendKey val="0"/>
          <c:showVal val="0"/>
          <c:showCatName val="0"/>
          <c:showSerName val="0"/>
          <c:showPercent val="0"/>
          <c:showBubbleSize val="0"/>
        </c:dLbls>
        <c:smooth val="0"/>
        <c:axId val="859948288"/>
        <c:axId val="1"/>
      </c:lineChart>
      <c:cat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[1]Mes!$E$1</c:f>
              <c:strCache>
                <c:ptCount val="1"/>
                <c:pt idx="0">
                  <c:v>Devaluacion_nominal_anual</c:v>
                </c:pt>
              </c:strCache>
            </c:strRef>
          </c:tx>
          <c:spPr>
            <a:ln w="28575" cap="rnd">
              <a:solidFill>
                <a:schemeClr val="accent1"/>
              </a:solidFill>
              <a:round/>
            </a:ln>
            <a:effectLst/>
          </c:spPr>
          <c:marker>
            <c:symbol val="none"/>
          </c:marker>
          <c:cat>
            <c:numRef>
              <c:f>[1]Mes!$A$2:$A$203</c:f>
              <c:numCache>
                <c:formatCode>General</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[1]Mes!$E$2:$E$203</c:f>
              <c:numCache>
                <c:formatCode>General</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FCD0-4FD0-B294-E6EB05EBA844}"/>
            </c:ext>
          </c:extLst>
        </c:ser>
        <c:dLbls>
          <c:showLegendKey val="0"/>
          <c:showVal val="0"/>
          <c:showCatName val="0"/>
          <c:showSerName val="0"/>
          <c:showPercent val="0"/>
          <c:showBubbleSize val="0"/>
        </c:dLbls>
        <c:smooth val="0"/>
        <c:axId val="859969920"/>
        <c:axId val="1"/>
      </c:lineChart>
      <c:cat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[1]Trim!$B$1</c:f>
              <c:strCache>
                <c:ptCount val="1"/>
                <c:pt idx="0">
                  <c:v>Crecimiento_Economia</c:v>
                </c:pt>
              </c:strCache>
            </c:strRef>
          </c:tx>
          <c:marker>
            <c:symbol val="none"/>
          </c:marker>
          <c:cat>
            <c:numRef>
              <c:f>[1]Trim!$A$2:$A$68</c:f>
              <c:numCache>
                <c:formatCode>General</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pt idx="66">
                  <c:v>46174</c:v>
                </c:pt>
              </c:numCache>
            </c:numRef>
          </c:cat>
          <c:val>
            <c:numRef>
              <c:f>[1]Trim!$B$2:$B$68</c:f>
              <c:numCache>
                <c:formatCode>General</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c:v>2.2228250788833224</c:v>
                </c:pt>
                <c:pt idx="53">
                  <c:v>2.674944025625539</c:v>
                </c:pt>
                <c:pt idx="54">
                  <c:v>0.43905595868866759</c:v>
                </c:pt>
                <c:pt idx="55">
                  <c:v>-0.38501206832535828</c:v>
                </c:pt>
                <c:pt idx="56">
                  <c:v>0.67878523466029617</c:v>
                </c:pt>
                <c:pt idx="57">
                  <c:v>0.55915009126959747</c:v>
                </c:pt>
                <c:pt idx="58">
                  <c:v>1.2059714801297097</c:v>
                </c:pt>
                <c:pt idx="59">
                  <c:v>1.6354453943640115</c:v>
                </c:pt>
                <c:pt idx="60">
                  <c:v>2.5733746647533331</c:v>
                </c:pt>
                <c:pt idx="61">
                  <c:v>2.1968992188072485</c:v>
                </c:pt>
                <c:pt idx="62">
                  <c:v>2.28250327285433</c:v>
                </c:pt>
                <c:pt idx="63">
                  <c:v>3.7804902823799349</c:v>
                </c:pt>
                <c:pt idx="64">
                  <c:v>2.0251775663378231</c:v>
                </c:pt>
                <c:pt idx="65">
                  <c:v>2.3930134147764233</c:v>
                </c:pt>
                <c:pt idx="66">
                  <c:v>3.366898924540525</c:v>
                </c:pt>
              </c:numCache>
            </c:numRef>
          </c:val>
          <c:smooth val="0"/>
          <c:extLst>
            <c:ext xmlns:c16="http://schemas.microsoft.com/office/drawing/2014/chart" uri="{C3380CC4-5D6E-409C-BE32-E72D297353CC}">
              <c16:uniqueId val="{00000000-DA26-4D8C-A8CE-0822C2485C38}"/>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[1]Mes!$F$1</c:f>
              <c:strCache>
                <c:ptCount val="1"/>
                <c:pt idx="0">
                  <c:v>Tasa_desempleo_total_7_ciud</c:v>
                </c:pt>
              </c:strCache>
            </c:strRef>
          </c:tx>
          <c:spPr>
            <a:ln w="12700"/>
          </c:spPr>
          <c:marker>
            <c:symbol val="none"/>
          </c:marker>
          <c:cat>
            <c:numRef>
              <c:f>[1]Mes!$A$2:$A$203</c:f>
              <c:numCache>
                <c:formatCode>General</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[1]Mes!$F$2:$F$203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70E8-4D5D-A594-7503796EAAB7}"/>
            </c:ext>
          </c:extLst>
        </c:ser>
        <c:dLbls>
          <c:showLegendKey val="0"/>
          <c:showVal val="0"/>
          <c:showCatName val="0"/>
          <c:showSerName val="0"/>
          <c:showPercent val="0"/>
          <c:showBubbleSize val="0"/>
        </c:dLbls>
        <c:smooth val="0"/>
        <c:axId val="859954112"/>
        <c:axId val="1"/>
      </c:lineChart>
      <c:cat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85725</xdr:rowOff>
    </xdr:to>
    <xdr:pic>
      <xdr:nvPicPr>
        <xdr:cNvPr id="2" name="Picture 1">
          <a:extLst>
            <a:ext uri="{FF2B5EF4-FFF2-40B4-BE49-F238E27FC236}">
              <a16:creationId xmlns:a16="http://schemas.microsoft.com/office/drawing/2014/main" id="{28E658A4-CE86-4A8E-9989-F4FFA880A9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3" name="Text Box 8">
          <a:extLst>
            <a:ext uri="{FF2B5EF4-FFF2-40B4-BE49-F238E27FC236}">
              <a16:creationId xmlns:a16="http://schemas.microsoft.com/office/drawing/2014/main" id="{7ABA2F9D-DD01-447F-9EF0-E7A4F3C7F4A5}"/>
            </a:ext>
          </a:extLst>
        </xdr:cNvPr>
        <xdr:cNvSpPr txBox="1">
          <a:spLocks noChangeArrowheads="1"/>
        </xdr:cNvSpPr>
      </xdr:nvSpPr>
      <xdr:spPr bwMode="auto">
        <a:xfrm>
          <a:off x="57150" y="24912282"/>
          <a:ext cx="4285112" cy="1318124"/>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xdr:twoCellAnchor>
    <xdr:from>
      <xdr:col>7</xdr:col>
      <xdr:colOff>0</xdr:colOff>
      <xdr:row>7</xdr:row>
      <xdr:rowOff>57150</xdr:rowOff>
    </xdr:from>
    <xdr:to>
      <xdr:col>12</xdr:col>
      <xdr:colOff>19050</xdr:colOff>
      <xdr:row>23</xdr:row>
      <xdr:rowOff>123825</xdr:rowOff>
    </xdr:to>
    <xdr:graphicFrame macro="">
      <xdr:nvGraphicFramePr>
        <xdr:cNvPr id="4" name="Gráfico 1">
          <a:extLst>
            <a:ext uri="{FF2B5EF4-FFF2-40B4-BE49-F238E27FC236}">
              <a16:creationId xmlns:a16="http://schemas.microsoft.com/office/drawing/2014/main" id="{952B0904-4207-418F-9802-4C24CB1BA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5" name="Gráfico 1">
          <a:extLst>
            <a:ext uri="{FF2B5EF4-FFF2-40B4-BE49-F238E27FC236}">
              <a16:creationId xmlns:a16="http://schemas.microsoft.com/office/drawing/2014/main" id="{DFA3E3AF-09F7-44A8-9ECC-EEF99E0AC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 name="Gráfico 1">
          <a:extLst>
            <a:ext uri="{FF2B5EF4-FFF2-40B4-BE49-F238E27FC236}">
              <a16:creationId xmlns:a16="http://schemas.microsoft.com/office/drawing/2014/main" id="{FF06FA67-94EB-4C98-9215-2E27019B9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7" name="Gráfico 1">
          <a:extLst>
            <a:ext uri="{FF2B5EF4-FFF2-40B4-BE49-F238E27FC236}">
              <a16:creationId xmlns:a16="http://schemas.microsoft.com/office/drawing/2014/main" id="{543293E7-D026-45F8-8765-89E4A5DE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8" name="Gráfico 1">
          <a:extLst>
            <a:ext uri="{FF2B5EF4-FFF2-40B4-BE49-F238E27FC236}">
              <a16:creationId xmlns:a16="http://schemas.microsoft.com/office/drawing/2014/main" id="{64CD4ACB-9B9D-4133-9381-0DE938E36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9" name="Gráfico 1">
          <a:extLst>
            <a:ext uri="{FF2B5EF4-FFF2-40B4-BE49-F238E27FC236}">
              <a16:creationId xmlns:a16="http://schemas.microsoft.com/office/drawing/2014/main" id="{0FC019A0-FBB3-4B0E-8091-472DBBF04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DAZAT/AppData/Local/Microsoft/Windows/INetCache/Content.Outlook/OHU6O2Y2/Formulario_IT_ETE-EE104-4.xlsx" TargetMode="External"/><Relationship Id="rId2" Type="http://schemas.openxmlformats.org/officeDocument/2006/relationships/externalLinkPath" Target="file:///C:\Users\MADAZAT\AppData\Local\Microsoft\Windows\INetCache\Content.Outlook\OHU6O2Y2\Formulario_IT_ETE-EE104-4.xlsx" TargetMode="External"/><Relationship Id="rId1" Type="http://schemas.openxmlformats.org/officeDocument/2006/relationships/externalLinkPath" Target="/Users/MADAZAT/AppData/Local/Microsoft/Windows/INetCache/Content.Outlook/OHU6O2Y2/Formulario_IT_ETE-EE104-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atherine%20Espinosa\Downloads\Formulario_IT_ETE-EE104-4.xlsx" TargetMode="External"/><Relationship Id="rId1" Type="http://schemas.openxmlformats.org/officeDocument/2006/relationships/externalLinkPath" Target="Formulario_IT_ETE-EE10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s"/>
      <sheetName val="Trim"/>
      <sheetName val="Informacion"/>
      <sheetName val="ENCUESTA"/>
      <sheetName val="ANEXO"/>
    </sheetNames>
    <sheetDataSet>
      <sheetData sheetId="0">
        <row r="1">
          <cell r="B1" t="str">
            <v>Inflacion_anual</v>
          </cell>
          <cell r="C1" t="str">
            <v>IBR_efectiva_anual_FinD</v>
          </cell>
          <cell r="D1" t="str">
            <v>TRM_pesos_dólar</v>
          </cell>
          <cell r="E1" t="str">
            <v>Devaluacion_nominal_anual</v>
          </cell>
          <cell r="F1" t="str">
            <v>Tasa_desempleo_total_7_ciud</v>
          </cell>
        </row>
        <row r="2">
          <cell r="A2">
            <v>40148</v>
          </cell>
          <cell r="B2">
            <v>2</v>
          </cell>
          <cell r="D2">
            <v>2044.23</v>
          </cell>
          <cell r="E2">
            <v>-8.885758984484692</v>
          </cell>
          <cell r="F2">
            <v>11.312200000000001</v>
          </cell>
        </row>
        <row r="3">
          <cell r="A3">
            <v>40179</v>
          </cell>
          <cell r="B3">
            <v>2.1</v>
          </cell>
          <cell r="D3">
            <v>1982.29</v>
          </cell>
          <cell r="E3">
            <v>-18.099999999999998</v>
          </cell>
          <cell r="F3">
            <v>14.8787</v>
          </cell>
        </row>
        <row r="4">
          <cell r="A4">
            <v>40210</v>
          </cell>
          <cell r="B4">
            <v>2.09</v>
          </cell>
          <cell r="D4">
            <v>1932.32</v>
          </cell>
          <cell r="E4">
            <v>-24.4</v>
          </cell>
          <cell r="F4">
            <v>12.694699999999999</v>
          </cell>
        </row>
        <row r="5">
          <cell r="A5">
            <v>40238</v>
          </cell>
          <cell r="B5">
            <v>1.84</v>
          </cell>
          <cell r="D5">
            <v>1928.59</v>
          </cell>
          <cell r="E5">
            <v>-24.7</v>
          </cell>
          <cell r="F5">
            <v>11.959</v>
          </cell>
        </row>
        <row r="6">
          <cell r="A6">
            <v>40269</v>
          </cell>
          <cell r="B6">
            <v>1.98</v>
          </cell>
          <cell r="D6">
            <v>1969.75</v>
          </cell>
          <cell r="E6">
            <v>-13.970000000000002</v>
          </cell>
          <cell r="F6">
            <v>12.4399</v>
          </cell>
        </row>
        <row r="7">
          <cell r="A7">
            <v>40299</v>
          </cell>
          <cell r="B7">
            <v>2.0699999999999998</v>
          </cell>
          <cell r="D7">
            <v>1971.55</v>
          </cell>
          <cell r="E7">
            <v>-7.9</v>
          </cell>
          <cell r="F7">
            <v>12.263400000000001</v>
          </cell>
        </row>
        <row r="8">
          <cell r="A8">
            <v>40330</v>
          </cell>
          <cell r="B8">
            <v>2.25</v>
          </cell>
          <cell r="D8">
            <v>1916.46</v>
          </cell>
          <cell r="E8">
            <v>-11.22</v>
          </cell>
          <cell r="F8">
            <v>11.9801</v>
          </cell>
        </row>
        <row r="9">
          <cell r="A9">
            <v>40360</v>
          </cell>
          <cell r="B9">
            <v>2.2400000000000002</v>
          </cell>
          <cell r="D9">
            <v>1842.79</v>
          </cell>
          <cell r="E9">
            <v>-9.82</v>
          </cell>
          <cell r="F9">
            <v>12.8583</v>
          </cell>
        </row>
        <row r="10">
          <cell r="A10">
            <v>40391</v>
          </cell>
          <cell r="B10">
            <v>2.31</v>
          </cell>
          <cell r="D10">
            <v>1823.74</v>
          </cell>
          <cell r="E10">
            <v>-10.38</v>
          </cell>
          <cell r="F10">
            <v>11.3779</v>
          </cell>
        </row>
        <row r="11">
          <cell r="A11">
            <v>40422</v>
          </cell>
          <cell r="B11">
            <v>2.2799999999999998</v>
          </cell>
          <cell r="D11">
            <v>1799.89</v>
          </cell>
          <cell r="E11">
            <v>-6.35</v>
          </cell>
          <cell r="F11">
            <v>10.8675</v>
          </cell>
        </row>
        <row r="12">
          <cell r="A12">
            <v>40452</v>
          </cell>
          <cell r="B12">
            <v>2.33</v>
          </cell>
          <cell r="D12">
            <v>1831.64</v>
          </cell>
          <cell r="E12">
            <v>-8.1332129601765395</v>
          </cell>
          <cell r="F12">
            <v>10.452500000000001</v>
          </cell>
        </row>
        <row r="13">
          <cell r="A13">
            <v>40483</v>
          </cell>
          <cell r="B13">
            <v>2.59</v>
          </cell>
          <cell r="D13">
            <v>1916.96</v>
          </cell>
          <cell r="E13">
            <v>-4.0305987073648186</v>
          </cell>
          <cell r="F13">
            <v>10.934100000000001</v>
          </cell>
        </row>
        <row r="14">
          <cell r="A14">
            <v>40513</v>
          </cell>
          <cell r="B14">
            <v>3.17</v>
          </cell>
          <cell r="D14">
            <v>1913.98</v>
          </cell>
          <cell r="E14">
            <v>-6.3715922376640588</v>
          </cell>
          <cell r="F14">
            <v>11.2264</v>
          </cell>
        </row>
        <row r="15">
          <cell r="A15">
            <v>40544</v>
          </cell>
          <cell r="B15">
            <v>3.4</v>
          </cell>
          <cell r="D15">
            <v>1857.98</v>
          </cell>
          <cell r="E15">
            <v>-6.27</v>
          </cell>
          <cell r="F15">
            <v>13.8965</v>
          </cell>
        </row>
        <row r="16">
          <cell r="A16">
            <v>40575</v>
          </cell>
          <cell r="B16">
            <v>3.17</v>
          </cell>
          <cell r="D16">
            <v>1895.56</v>
          </cell>
          <cell r="E16">
            <v>-1.9</v>
          </cell>
          <cell r="F16">
            <v>13.1393</v>
          </cell>
        </row>
        <row r="17">
          <cell r="A17">
            <v>40603</v>
          </cell>
          <cell r="B17">
            <v>3.19</v>
          </cell>
          <cell r="D17">
            <v>1879.47</v>
          </cell>
          <cell r="E17">
            <v>-2.5499999999999998</v>
          </cell>
          <cell r="F17">
            <v>10.9483</v>
          </cell>
        </row>
        <row r="18">
          <cell r="A18">
            <v>40634</v>
          </cell>
          <cell r="B18">
            <v>2.84</v>
          </cell>
          <cell r="D18">
            <v>1768.19</v>
          </cell>
          <cell r="E18">
            <v>-10.23</v>
          </cell>
          <cell r="F18">
            <v>11.2743</v>
          </cell>
        </row>
        <row r="19">
          <cell r="A19">
            <v>40664</v>
          </cell>
          <cell r="B19">
            <v>3.02</v>
          </cell>
          <cell r="D19">
            <v>1817.34</v>
          </cell>
          <cell r="E19">
            <v>-7.82</v>
          </cell>
          <cell r="F19">
            <v>11.553599999999999</v>
          </cell>
        </row>
        <row r="20">
          <cell r="A20">
            <v>40695</v>
          </cell>
          <cell r="B20">
            <v>3.23</v>
          </cell>
          <cell r="D20">
            <v>1780.16</v>
          </cell>
          <cell r="E20">
            <v>-7.1099999999999994</v>
          </cell>
          <cell r="F20">
            <v>11.036</v>
          </cell>
        </row>
        <row r="21">
          <cell r="A21">
            <v>40725</v>
          </cell>
          <cell r="B21">
            <v>3.42</v>
          </cell>
          <cell r="D21">
            <v>1777.82</v>
          </cell>
          <cell r="E21">
            <v>-3.53</v>
          </cell>
          <cell r="F21">
            <v>11.704000000000001</v>
          </cell>
        </row>
        <row r="22">
          <cell r="A22">
            <v>40756</v>
          </cell>
          <cell r="B22">
            <v>3.27</v>
          </cell>
          <cell r="D22">
            <v>1783.66</v>
          </cell>
          <cell r="E22">
            <v>-2.2000000000000002</v>
          </cell>
          <cell r="F22">
            <v>10.415699999999999</v>
          </cell>
        </row>
        <row r="23">
          <cell r="A23">
            <v>40787</v>
          </cell>
          <cell r="B23">
            <v>3.73</v>
          </cell>
          <cell r="D23">
            <v>1915.1</v>
          </cell>
          <cell r="E23">
            <v>6.4</v>
          </cell>
          <cell r="F23">
            <v>9.9278999999999993</v>
          </cell>
        </row>
        <row r="24">
          <cell r="A24">
            <v>40817</v>
          </cell>
          <cell r="B24">
            <v>4.0199999999999996</v>
          </cell>
          <cell r="D24">
            <v>1863.06</v>
          </cell>
          <cell r="E24">
            <v>1.72</v>
          </cell>
          <cell r="F24">
            <v>9.3596000000000004</v>
          </cell>
        </row>
        <row r="25">
          <cell r="A25">
            <v>40848</v>
          </cell>
          <cell r="B25">
            <v>3.96</v>
          </cell>
          <cell r="D25">
            <v>1967.18</v>
          </cell>
          <cell r="E25">
            <v>2.62</v>
          </cell>
          <cell r="F25">
            <v>9.4934999999999992</v>
          </cell>
        </row>
        <row r="26">
          <cell r="A26">
            <v>40878</v>
          </cell>
          <cell r="B26">
            <v>3.73</v>
          </cell>
          <cell r="D26">
            <v>1942.7</v>
          </cell>
          <cell r="E26">
            <v>1.500538145644148</v>
          </cell>
          <cell r="F26">
            <v>10.0677</v>
          </cell>
        </row>
        <row r="27">
          <cell r="A27">
            <v>40909</v>
          </cell>
          <cell r="B27">
            <v>3.54</v>
          </cell>
          <cell r="D27">
            <v>1815.08</v>
          </cell>
          <cell r="E27">
            <v>-2.31</v>
          </cell>
          <cell r="F27">
            <v>12.7911</v>
          </cell>
        </row>
        <row r="28">
          <cell r="A28">
            <v>40940</v>
          </cell>
          <cell r="B28">
            <v>3.55</v>
          </cell>
          <cell r="D28">
            <v>1767.83</v>
          </cell>
          <cell r="E28">
            <v>-6.74</v>
          </cell>
          <cell r="F28">
            <v>12.074999999999999</v>
          </cell>
        </row>
        <row r="29">
          <cell r="A29">
            <v>40969</v>
          </cell>
          <cell r="B29">
            <v>3.4</v>
          </cell>
          <cell r="D29">
            <v>1792.07</v>
          </cell>
          <cell r="E29">
            <v>-4.6500000000000004</v>
          </cell>
          <cell r="F29">
            <v>10.5024</v>
          </cell>
        </row>
        <row r="30">
          <cell r="A30">
            <v>41000</v>
          </cell>
          <cell r="B30">
            <v>3.43</v>
          </cell>
          <cell r="D30">
            <v>1761.2</v>
          </cell>
          <cell r="E30">
            <v>-0.4</v>
          </cell>
          <cell r="F30">
            <v>11.087</v>
          </cell>
        </row>
        <row r="31">
          <cell r="A31">
            <v>41030</v>
          </cell>
          <cell r="B31">
            <v>3.44</v>
          </cell>
          <cell r="D31">
            <v>1827.83</v>
          </cell>
          <cell r="E31">
            <v>0.57999999999999996</v>
          </cell>
          <cell r="F31">
            <v>10.994999999999999</v>
          </cell>
        </row>
        <row r="32">
          <cell r="A32">
            <v>41061</v>
          </cell>
          <cell r="B32">
            <v>3.2</v>
          </cell>
          <cell r="D32">
            <v>1784.6</v>
          </cell>
          <cell r="E32">
            <v>0.25</v>
          </cell>
          <cell r="F32">
            <v>10.2437</v>
          </cell>
        </row>
        <row r="33">
          <cell r="A33">
            <v>41091</v>
          </cell>
          <cell r="B33">
            <v>3.03</v>
          </cell>
          <cell r="D33">
            <v>1789.02</v>
          </cell>
          <cell r="E33">
            <v>0.63</v>
          </cell>
          <cell r="F33">
            <v>11.155799999999999</v>
          </cell>
        </row>
        <row r="34">
          <cell r="A34">
            <v>41122</v>
          </cell>
          <cell r="B34">
            <v>3.11</v>
          </cell>
          <cell r="C34">
            <v>4.7699999999999996</v>
          </cell>
          <cell r="D34">
            <v>1830.5</v>
          </cell>
          <cell r="E34">
            <v>2.63</v>
          </cell>
          <cell r="F34">
            <v>9.9893000000000001</v>
          </cell>
        </row>
        <row r="35">
          <cell r="A35">
            <v>41153</v>
          </cell>
          <cell r="B35">
            <v>3.08</v>
          </cell>
          <cell r="C35">
            <v>4.5679999999999996</v>
          </cell>
          <cell r="D35">
            <v>1800.52</v>
          </cell>
          <cell r="E35">
            <v>-5.98</v>
          </cell>
          <cell r="F35">
            <v>10.144399999999999</v>
          </cell>
        </row>
        <row r="36">
          <cell r="A36">
            <v>41183</v>
          </cell>
          <cell r="B36">
            <v>3.06</v>
          </cell>
          <cell r="C36">
            <v>4.7110000000000003</v>
          </cell>
          <cell r="D36">
            <v>1829.89</v>
          </cell>
          <cell r="E36">
            <v>-1.78</v>
          </cell>
          <cell r="F36">
            <v>9.1692</v>
          </cell>
        </row>
        <row r="37">
          <cell r="A37">
            <v>41214</v>
          </cell>
          <cell r="B37">
            <v>2.77</v>
          </cell>
          <cell r="C37">
            <v>4.5030000000000001</v>
          </cell>
          <cell r="D37">
            <v>1817.93</v>
          </cell>
          <cell r="E37">
            <v>-7.59</v>
          </cell>
          <cell r="F37">
            <v>9.4619</v>
          </cell>
        </row>
        <row r="38">
          <cell r="A38">
            <v>41244</v>
          </cell>
          <cell r="B38">
            <v>2.44</v>
          </cell>
          <cell r="C38">
            <v>4.218</v>
          </cell>
          <cell r="D38">
            <v>1768.23</v>
          </cell>
          <cell r="E38">
            <v>-8.98</v>
          </cell>
          <cell r="F38">
            <v>9.9404000000000003</v>
          </cell>
        </row>
        <row r="39">
          <cell r="A39">
            <v>41275</v>
          </cell>
          <cell r="B39">
            <v>2</v>
          </cell>
          <cell r="C39">
            <v>3.8919999999999999</v>
          </cell>
          <cell r="D39">
            <v>1773.24</v>
          </cell>
          <cell r="E39">
            <v>-2.31</v>
          </cell>
          <cell r="F39">
            <v>12.3415</v>
          </cell>
        </row>
        <row r="40">
          <cell r="A40">
            <v>41306</v>
          </cell>
          <cell r="B40">
            <v>1.83</v>
          </cell>
          <cell r="C40">
            <v>3.6190000000000002</v>
          </cell>
          <cell r="D40">
            <v>1816.42</v>
          </cell>
          <cell r="E40">
            <v>2.75</v>
          </cell>
          <cell r="F40">
            <v>12.0105</v>
          </cell>
        </row>
        <row r="41">
          <cell r="A41">
            <v>41334</v>
          </cell>
          <cell r="B41">
            <v>1.91</v>
          </cell>
          <cell r="C41">
            <v>3.2010000000000001</v>
          </cell>
          <cell r="D41">
            <v>1832.2</v>
          </cell>
          <cell r="E41">
            <v>2.2400000000000002</v>
          </cell>
          <cell r="F41">
            <v>10.383800000000001</v>
          </cell>
        </row>
        <row r="42">
          <cell r="A42">
            <v>41365</v>
          </cell>
          <cell r="B42">
            <v>2.02</v>
          </cell>
          <cell r="C42">
            <v>3.17</v>
          </cell>
          <cell r="D42">
            <v>1828.79</v>
          </cell>
          <cell r="E42">
            <v>3.84</v>
          </cell>
          <cell r="F42">
            <v>10.4518</v>
          </cell>
        </row>
        <row r="43">
          <cell r="A43">
            <v>41395</v>
          </cell>
          <cell r="B43">
            <v>2</v>
          </cell>
          <cell r="C43">
            <v>3.2330000000000001</v>
          </cell>
          <cell r="D43">
            <v>1891.48</v>
          </cell>
          <cell r="E43">
            <v>3.4799999999999995</v>
          </cell>
          <cell r="F43">
            <v>9.8203999999999994</v>
          </cell>
        </row>
        <row r="44">
          <cell r="A44">
            <v>41426</v>
          </cell>
          <cell r="B44">
            <v>2.16</v>
          </cell>
          <cell r="C44">
            <v>3.2370000000000001</v>
          </cell>
          <cell r="D44">
            <v>1929</v>
          </cell>
          <cell r="E44">
            <v>8.09</v>
          </cell>
          <cell r="F44">
            <v>9.5105000000000004</v>
          </cell>
        </row>
        <row r="45">
          <cell r="A45">
            <v>41456</v>
          </cell>
          <cell r="B45">
            <v>2.2200000000000002</v>
          </cell>
          <cell r="C45">
            <v>3.266</v>
          </cell>
          <cell r="D45">
            <v>1890.33</v>
          </cell>
          <cell r="E45">
            <v>5.66</v>
          </cell>
          <cell r="F45">
            <v>10.162599999999999</v>
          </cell>
        </row>
        <row r="46">
          <cell r="A46">
            <v>41487</v>
          </cell>
          <cell r="B46">
            <v>2.27</v>
          </cell>
          <cell r="C46">
            <v>3.2610000000000001</v>
          </cell>
          <cell r="D46">
            <v>1935.43</v>
          </cell>
          <cell r="E46">
            <v>5.7299999999999995</v>
          </cell>
          <cell r="F46">
            <v>9.6613000000000007</v>
          </cell>
        </row>
        <row r="47">
          <cell r="A47">
            <v>41518</v>
          </cell>
          <cell r="B47">
            <v>2.27</v>
          </cell>
          <cell r="C47">
            <v>3.27</v>
          </cell>
          <cell r="D47">
            <v>1914.65</v>
          </cell>
          <cell r="E47">
            <v>6.34</v>
          </cell>
          <cell r="F47">
            <v>9.1692</v>
          </cell>
        </row>
        <row r="48">
          <cell r="A48">
            <v>41548</v>
          </cell>
          <cell r="B48">
            <v>1.84</v>
          </cell>
          <cell r="C48">
            <v>3.274</v>
          </cell>
          <cell r="D48">
            <v>1884.06</v>
          </cell>
          <cell r="E48">
            <v>2.96</v>
          </cell>
          <cell r="F48">
            <v>8.1300000000000008</v>
          </cell>
        </row>
        <row r="49">
          <cell r="A49">
            <v>41579</v>
          </cell>
          <cell r="B49">
            <v>1.76</v>
          </cell>
          <cell r="C49">
            <v>3.222</v>
          </cell>
          <cell r="D49">
            <v>1931.88</v>
          </cell>
          <cell r="E49">
            <v>6.2700000000000005</v>
          </cell>
          <cell r="F49">
            <v>8.6267999999999994</v>
          </cell>
        </row>
        <row r="50">
          <cell r="A50">
            <v>41609</v>
          </cell>
          <cell r="B50">
            <v>1.94</v>
          </cell>
          <cell r="C50">
            <v>3.2490000000000001</v>
          </cell>
          <cell r="D50">
            <v>1926.83</v>
          </cell>
          <cell r="E50">
            <v>8.9700000000000006</v>
          </cell>
          <cell r="F50">
            <v>8.6472999999999995</v>
          </cell>
        </row>
        <row r="51">
          <cell r="A51">
            <v>41640</v>
          </cell>
          <cell r="B51">
            <v>2.13</v>
          </cell>
          <cell r="C51">
            <v>3.2730000000000001</v>
          </cell>
          <cell r="D51">
            <v>2008.26</v>
          </cell>
          <cell r="E51">
            <v>13.25</v>
          </cell>
          <cell r="F51">
            <v>11.532400000000001</v>
          </cell>
        </row>
        <row r="52">
          <cell r="A52">
            <v>41671</v>
          </cell>
          <cell r="B52">
            <v>2.3199999999999998</v>
          </cell>
          <cell r="C52">
            <v>3.278</v>
          </cell>
          <cell r="D52">
            <v>2054.9</v>
          </cell>
          <cell r="E52">
            <v>13.13</v>
          </cell>
          <cell r="F52">
            <v>11.0878</v>
          </cell>
        </row>
        <row r="53">
          <cell r="A53">
            <v>41699</v>
          </cell>
          <cell r="B53">
            <v>2.5099999999999998</v>
          </cell>
          <cell r="C53">
            <v>3.254</v>
          </cell>
          <cell r="D53">
            <v>1965.32</v>
          </cell>
          <cell r="E53">
            <v>7.2700000000000005</v>
          </cell>
          <cell r="F53">
            <v>9.8445</v>
          </cell>
        </row>
        <row r="54">
          <cell r="A54">
            <v>41730</v>
          </cell>
          <cell r="B54">
            <v>2.72</v>
          </cell>
          <cell r="C54">
            <v>3.722</v>
          </cell>
          <cell r="D54">
            <v>1935.14</v>
          </cell>
          <cell r="E54">
            <v>5.82</v>
          </cell>
          <cell r="F54">
            <v>9.3084000000000007</v>
          </cell>
        </row>
        <row r="55">
          <cell r="A55">
            <v>41760</v>
          </cell>
          <cell r="B55">
            <v>2.93</v>
          </cell>
          <cell r="C55">
            <v>3.8719999999999999</v>
          </cell>
          <cell r="D55">
            <v>1900.64</v>
          </cell>
          <cell r="E55">
            <v>0.48</v>
          </cell>
          <cell r="F55">
            <v>9.0673999999999992</v>
          </cell>
        </row>
        <row r="56">
          <cell r="A56">
            <v>41791</v>
          </cell>
          <cell r="B56">
            <v>2.79</v>
          </cell>
          <cell r="C56">
            <v>4.2530000000000001</v>
          </cell>
          <cell r="D56">
            <v>1881.19</v>
          </cell>
          <cell r="E56">
            <v>-2.48</v>
          </cell>
          <cell r="F56">
            <v>9.4018999999999995</v>
          </cell>
        </row>
        <row r="57">
          <cell r="A57">
            <v>41821</v>
          </cell>
          <cell r="B57">
            <v>2.89</v>
          </cell>
          <cell r="C57">
            <v>4.351</v>
          </cell>
          <cell r="D57">
            <v>1872.43</v>
          </cell>
          <cell r="E57">
            <v>-0.95</v>
          </cell>
          <cell r="F57">
            <v>9.6865000000000006</v>
          </cell>
        </row>
        <row r="58">
          <cell r="A58">
            <v>41852</v>
          </cell>
          <cell r="B58">
            <v>3.02</v>
          </cell>
          <cell r="C58">
            <v>4.484</v>
          </cell>
          <cell r="D58">
            <v>1918.62</v>
          </cell>
          <cell r="E58">
            <v>-0.86999999999999988</v>
          </cell>
          <cell r="F58">
            <v>9.16</v>
          </cell>
        </row>
        <row r="59">
          <cell r="A59">
            <v>41883</v>
          </cell>
          <cell r="B59">
            <v>2.86</v>
          </cell>
          <cell r="C59">
            <v>4.5129999999999999</v>
          </cell>
          <cell r="D59">
            <v>2028.48</v>
          </cell>
          <cell r="E59">
            <v>5.95</v>
          </cell>
          <cell r="F59">
            <v>8.6057000000000006</v>
          </cell>
        </row>
        <row r="60">
          <cell r="A60">
            <v>41913</v>
          </cell>
          <cell r="B60">
            <v>3.29</v>
          </cell>
          <cell r="C60">
            <v>4.5049999999999999</v>
          </cell>
          <cell r="D60">
            <v>2050.52</v>
          </cell>
          <cell r="E60">
            <v>8.8351751005806722</v>
          </cell>
          <cell r="F60">
            <v>8.0952999999999999</v>
          </cell>
        </row>
        <row r="61">
          <cell r="A61">
            <v>41944</v>
          </cell>
          <cell r="B61">
            <v>3.65</v>
          </cell>
          <cell r="C61">
            <v>4.4909999999999997</v>
          </cell>
          <cell r="D61">
            <v>2206.19</v>
          </cell>
          <cell r="E61">
            <v>14.199122098681084</v>
          </cell>
          <cell r="F61">
            <v>8.0622000000000007</v>
          </cell>
        </row>
        <row r="62">
          <cell r="A62">
            <v>41974</v>
          </cell>
          <cell r="B62">
            <v>3.66</v>
          </cell>
          <cell r="C62">
            <v>4.4950000000000001</v>
          </cell>
          <cell r="D62">
            <v>2392.46</v>
          </cell>
          <cell r="E62">
            <v>24.1655984181272</v>
          </cell>
          <cell r="F62">
            <v>9.0374999999999996</v>
          </cell>
        </row>
        <row r="63">
          <cell r="A63">
            <v>42005</v>
          </cell>
          <cell r="B63">
            <v>3.82</v>
          </cell>
          <cell r="C63">
            <v>4.4640000000000004</v>
          </cell>
          <cell r="D63">
            <v>2441.1</v>
          </cell>
          <cell r="E63">
            <v>21.55</v>
          </cell>
          <cell r="F63">
            <v>11.1517</v>
          </cell>
        </row>
        <row r="64">
          <cell r="A64">
            <v>42036</v>
          </cell>
          <cell r="B64">
            <v>4.3600000000000003</v>
          </cell>
          <cell r="C64">
            <v>4.47</v>
          </cell>
          <cell r="D64">
            <v>2496.9899999999998</v>
          </cell>
          <cell r="E64">
            <v>21.51</v>
          </cell>
          <cell r="F64">
            <v>10.227600000000001</v>
          </cell>
        </row>
        <row r="65">
          <cell r="A65">
            <v>42064</v>
          </cell>
          <cell r="B65">
            <v>4.5599999999999996</v>
          </cell>
          <cell r="C65">
            <v>4.5270000000000001</v>
          </cell>
          <cell r="D65">
            <v>2576.0500000000002</v>
          </cell>
          <cell r="E65">
            <v>31.08</v>
          </cell>
          <cell r="F65">
            <v>9.1227999999999998</v>
          </cell>
        </row>
        <row r="66">
          <cell r="A66">
            <v>42095</v>
          </cell>
          <cell r="B66">
            <v>4.6399999999999997</v>
          </cell>
          <cell r="C66">
            <v>4.5220000000000002</v>
          </cell>
          <cell r="D66">
            <v>2388.06</v>
          </cell>
          <cell r="E66">
            <v>23.41</v>
          </cell>
          <cell r="F66">
            <v>9.7372999999999994</v>
          </cell>
        </row>
        <row r="67">
          <cell r="A67">
            <v>42125</v>
          </cell>
          <cell r="B67">
            <v>4.41</v>
          </cell>
          <cell r="C67">
            <v>4.5069999999999997</v>
          </cell>
          <cell r="D67">
            <v>2533.79</v>
          </cell>
          <cell r="E67">
            <v>33.31</v>
          </cell>
          <cell r="F67">
            <v>9.2216000000000005</v>
          </cell>
        </row>
        <row r="68">
          <cell r="A68">
            <v>42156</v>
          </cell>
          <cell r="B68">
            <v>4.42</v>
          </cell>
          <cell r="C68">
            <v>4.5129999999999999</v>
          </cell>
          <cell r="D68">
            <v>2585.11</v>
          </cell>
          <cell r="E68">
            <v>37.419999999999995</v>
          </cell>
          <cell r="F68">
            <v>8.4986999999999995</v>
          </cell>
        </row>
        <row r="69">
          <cell r="A69">
            <v>42186</v>
          </cell>
          <cell r="B69">
            <v>4.46</v>
          </cell>
          <cell r="C69">
            <v>4.5369999999999999</v>
          </cell>
          <cell r="D69">
            <v>2866.04</v>
          </cell>
          <cell r="E69">
            <v>53.069999999999993</v>
          </cell>
          <cell r="F69">
            <v>9.2236999999999991</v>
          </cell>
        </row>
        <row r="70">
          <cell r="A70">
            <v>42217</v>
          </cell>
          <cell r="B70">
            <v>4.74</v>
          </cell>
          <cell r="C70">
            <v>4.7149999999999999</v>
          </cell>
          <cell r="D70">
            <v>3101.1</v>
          </cell>
          <cell r="E70">
            <v>61.63000000000001</v>
          </cell>
          <cell r="F70">
            <v>9.3035999999999994</v>
          </cell>
        </row>
        <row r="71">
          <cell r="A71">
            <v>42248</v>
          </cell>
          <cell r="B71">
            <v>5.35</v>
          </cell>
          <cell r="C71">
            <v>4.9770000000000003</v>
          </cell>
          <cell r="D71">
            <v>3121.94</v>
          </cell>
          <cell r="E71">
            <v>53.909999999999989</v>
          </cell>
          <cell r="F71">
            <v>9.0681999999999992</v>
          </cell>
        </row>
        <row r="72">
          <cell r="A72">
            <v>42278</v>
          </cell>
          <cell r="B72">
            <v>5.89</v>
          </cell>
          <cell r="C72">
            <v>5.3869999999999996</v>
          </cell>
          <cell r="D72">
            <v>2897.83</v>
          </cell>
          <cell r="E72">
            <v>41.32</v>
          </cell>
          <cell r="F72">
            <v>8.4384999999999994</v>
          </cell>
        </row>
        <row r="73">
          <cell r="A73">
            <v>42309</v>
          </cell>
          <cell r="B73">
            <v>6.39</v>
          </cell>
          <cell r="C73">
            <v>5.8419999999999996</v>
          </cell>
          <cell r="D73">
            <v>3101.1</v>
          </cell>
          <cell r="E73">
            <v>40.56</v>
          </cell>
          <cell r="F73">
            <v>7.5631000000000004</v>
          </cell>
        </row>
        <row r="74">
          <cell r="A74">
            <v>42339</v>
          </cell>
          <cell r="B74">
            <v>6.77</v>
          </cell>
          <cell r="C74">
            <v>6.0679999999999996</v>
          </cell>
          <cell r="D74">
            <v>3149.47</v>
          </cell>
          <cell r="E74">
            <v>31.64</v>
          </cell>
          <cell r="F74">
            <v>8.8226999999999993</v>
          </cell>
        </row>
        <row r="75">
          <cell r="A75">
            <v>42370</v>
          </cell>
          <cell r="B75">
            <v>7.45</v>
          </cell>
          <cell r="C75">
            <v>6.3170000000000002</v>
          </cell>
          <cell r="D75">
            <v>3287.31</v>
          </cell>
          <cell r="E75">
            <v>34.67</v>
          </cell>
          <cell r="F75">
            <v>12.1784</v>
          </cell>
        </row>
        <row r="76">
          <cell r="A76">
            <v>42401</v>
          </cell>
          <cell r="B76">
            <v>7.59</v>
          </cell>
          <cell r="C76">
            <v>6.5789999999999997</v>
          </cell>
          <cell r="D76">
            <v>3306</v>
          </cell>
          <cell r="E76">
            <v>32.4</v>
          </cell>
          <cell r="F76">
            <v>10.367800000000001</v>
          </cell>
        </row>
        <row r="77">
          <cell r="A77">
            <v>42430</v>
          </cell>
          <cell r="B77">
            <v>7.98</v>
          </cell>
          <cell r="C77">
            <v>6.7229999999999999</v>
          </cell>
          <cell r="D77">
            <v>3022.35</v>
          </cell>
          <cell r="E77">
            <v>17.32</v>
          </cell>
          <cell r="F77">
            <v>10.464600000000001</v>
          </cell>
        </row>
        <row r="78">
          <cell r="A78">
            <v>42461</v>
          </cell>
          <cell r="B78">
            <v>7.93</v>
          </cell>
          <cell r="C78">
            <v>6.9829999999999997</v>
          </cell>
          <cell r="D78">
            <v>2851.14</v>
          </cell>
          <cell r="E78">
            <v>19.39</v>
          </cell>
          <cell r="F78">
            <v>9.3194999999999997</v>
          </cell>
        </row>
        <row r="79">
          <cell r="A79">
            <v>42491</v>
          </cell>
          <cell r="B79">
            <v>8.1999999999999993</v>
          </cell>
          <cell r="C79">
            <v>7.3789999999999996</v>
          </cell>
          <cell r="D79">
            <v>3069.17</v>
          </cell>
          <cell r="E79">
            <v>21.13</v>
          </cell>
          <cell r="F79">
            <v>9.2373999999999992</v>
          </cell>
        </row>
        <row r="80">
          <cell r="A80">
            <v>42522</v>
          </cell>
          <cell r="B80">
            <v>8.6</v>
          </cell>
          <cell r="C80">
            <v>7.5389999999999997</v>
          </cell>
          <cell r="D80">
            <v>2916.15</v>
          </cell>
          <cell r="E80">
            <v>12.809999999999999</v>
          </cell>
          <cell r="F80">
            <v>9.19</v>
          </cell>
        </row>
        <row r="81">
          <cell r="A81">
            <v>42552</v>
          </cell>
          <cell r="B81">
            <v>8.9700000000000006</v>
          </cell>
          <cell r="C81">
            <v>7.6909999999999998</v>
          </cell>
          <cell r="D81">
            <v>3081.75</v>
          </cell>
          <cell r="E81">
            <v>7.53</v>
          </cell>
          <cell r="F81">
            <v>10.2006</v>
          </cell>
        </row>
        <row r="82">
          <cell r="A82">
            <v>42583</v>
          </cell>
          <cell r="B82">
            <v>8.1</v>
          </cell>
          <cell r="C82">
            <v>7.8239999999999998</v>
          </cell>
          <cell r="D82">
            <v>2933.82</v>
          </cell>
          <cell r="E82">
            <v>-5.39</v>
          </cell>
          <cell r="F82">
            <v>9.2325999999999997</v>
          </cell>
        </row>
        <row r="83">
          <cell r="A83">
            <v>42614</v>
          </cell>
          <cell r="B83">
            <v>7.27</v>
          </cell>
          <cell r="C83">
            <v>7.7359999999999998</v>
          </cell>
          <cell r="D83">
            <v>2879.95</v>
          </cell>
          <cell r="E83">
            <v>-7.75</v>
          </cell>
          <cell r="F83">
            <v>8.8534000000000006</v>
          </cell>
        </row>
        <row r="84">
          <cell r="A84">
            <v>42644</v>
          </cell>
          <cell r="B84">
            <v>6.48</v>
          </cell>
          <cell r="C84">
            <v>7.7050000000000001</v>
          </cell>
          <cell r="D84">
            <v>2967.66</v>
          </cell>
          <cell r="E84">
            <v>2.4097341804039552</v>
          </cell>
          <cell r="F84">
            <v>8.6280000000000001</v>
          </cell>
        </row>
        <row r="85">
          <cell r="A85">
            <v>42675</v>
          </cell>
          <cell r="B85">
            <v>5.96</v>
          </cell>
          <cell r="C85">
            <v>7.6319999999999997</v>
          </cell>
          <cell r="D85">
            <v>3165.09</v>
          </cell>
          <cell r="E85">
            <v>2.0634613524233458</v>
          </cell>
          <cell r="F85">
            <v>7.7732000000000001</v>
          </cell>
        </row>
        <row r="86">
          <cell r="A86">
            <v>42705</v>
          </cell>
          <cell r="B86">
            <v>5.75</v>
          </cell>
          <cell r="C86">
            <v>7.2039999999999997</v>
          </cell>
          <cell r="D86">
            <v>3000.71</v>
          </cell>
          <cell r="E86">
            <v>-4.7233344022962527</v>
          </cell>
          <cell r="F86">
            <v>9.0970999999999993</v>
          </cell>
        </row>
        <row r="87">
          <cell r="A87">
            <v>42736</v>
          </cell>
          <cell r="B87">
            <v>5.47</v>
          </cell>
          <cell r="C87">
            <v>7.3319999999999999</v>
          </cell>
          <cell r="D87">
            <v>2936.66</v>
          </cell>
          <cell r="E87">
            <v>-10.67</v>
          </cell>
          <cell r="F87">
            <v>11.956899999999999</v>
          </cell>
        </row>
        <row r="88">
          <cell r="A88">
            <v>42767</v>
          </cell>
          <cell r="B88">
            <v>5.18</v>
          </cell>
          <cell r="C88">
            <v>7.03</v>
          </cell>
          <cell r="D88">
            <v>2896.27</v>
          </cell>
          <cell r="E88">
            <v>-12.39</v>
          </cell>
          <cell r="F88">
            <v>10.872999999999999</v>
          </cell>
        </row>
        <row r="89">
          <cell r="A89">
            <v>42795</v>
          </cell>
          <cell r="B89">
            <v>4.6900000000000004</v>
          </cell>
          <cell r="C89">
            <v>6.6379999999999999</v>
          </cell>
          <cell r="D89">
            <v>2880.24</v>
          </cell>
          <cell r="E89">
            <v>-4.7</v>
          </cell>
          <cell r="F89">
            <v>9.9046000000000003</v>
          </cell>
        </row>
        <row r="90">
          <cell r="A90">
            <v>42826</v>
          </cell>
          <cell r="B90">
            <v>4.66</v>
          </cell>
          <cell r="C90">
            <v>6.1970000000000001</v>
          </cell>
          <cell r="D90">
            <v>2947.85</v>
          </cell>
          <cell r="E90">
            <v>3.39</v>
          </cell>
          <cell r="F90">
            <v>9.1358999999999995</v>
          </cell>
        </row>
        <row r="91">
          <cell r="A91">
            <v>42856</v>
          </cell>
          <cell r="B91">
            <v>4.37</v>
          </cell>
          <cell r="C91">
            <v>5.87</v>
          </cell>
          <cell r="D91">
            <v>2920.42</v>
          </cell>
          <cell r="E91">
            <v>-4.8500000000000005</v>
          </cell>
          <cell r="F91">
            <v>9.8379999999999992</v>
          </cell>
        </row>
        <row r="92">
          <cell r="A92">
            <v>42887</v>
          </cell>
          <cell r="B92">
            <v>3.99</v>
          </cell>
          <cell r="C92">
            <v>5.5039999999999996</v>
          </cell>
          <cell r="D92">
            <v>3038.26</v>
          </cell>
          <cell r="E92">
            <v>4.1900000000000004</v>
          </cell>
          <cell r="F92">
            <v>8.9772999999999996</v>
          </cell>
        </row>
        <row r="93">
          <cell r="A93">
            <v>42917</v>
          </cell>
          <cell r="B93">
            <v>3.4</v>
          </cell>
          <cell r="C93">
            <v>5.3449999999999998</v>
          </cell>
          <cell r="D93">
            <v>2995.23</v>
          </cell>
          <cell r="E93">
            <v>-2.81</v>
          </cell>
          <cell r="F93">
            <v>9.9404000000000003</v>
          </cell>
        </row>
        <row r="94">
          <cell r="A94">
            <v>42948</v>
          </cell>
          <cell r="B94">
            <v>3.87</v>
          </cell>
          <cell r="C94">
            <v>5.1929999999999996</v>
          </cell>
          <cell r="D94">
            <v>2937.09</v>
          </cell>
          <cell r="E94">
            <v>0.11</v>
          </cell>
          <cell r="F94">
            <v>9.5167999999999999</v>
          </cell>
        </row>
        <row r="95">
          <cell r="A95">
            <v>42979</v>
          </cell>
          <cell r="B95">
            <v>3.97</v>
          </cell>
          <cell r="C95">
            <v>5.1459999999999999</v>
          </cell>
          <cell r="D95">
            <v>2936.67</v>
          </cell>
          <cell r="E95">
            <v>1.97</v>
          </cell>
          <cell r="F95">
            <v>9.5469000000000008</v>
          </cell>
        </row>
        <row r="96">
          <cell r="A96">
            <v>43009</v>
          </cell>
          <cell r="B96">
            <v>4.05</v>
          </cell>
          <cell r="C96">
            <v>4.9459999999999997</v>
          </cell>
          <cell r="D96">
            <v>3011.44</v>
          </cell>
          <cell r="E96">
            <v>1.4752363815262015</v>
          </cell>
          <cell r="F96">
            <v>8.7399000000000004</v>
          </cell>
        </row>
        <row r="97">
          <cell r="A97">
            <v>43040</v>
          </cell>
          <cell r="B97">
            <v>4.12</v>
          </cell>
          <cell r="C97">
            <v>4.5620000000000003</v>
          </cell>
          <cell r="D97">
            <v>3006.09</v>
          </cell>
          <cell r="E97">
            <v>-5.0235538325924427</v>
          </cell>
          <cell r="F97">
            <v>8.7647999999999993</v>
          </cell>
        </row>
        <row r="98">
          <cell r="A98">
            <v>43070</v>
          </cell>
          <cell r="B98">
            <v>4.09</v>
          </cell>
          <cell r="C98">
            <v>4.6550000000000002</v>
          </cell>
          <cell r="D98">
            <v>2984</v>
          </cell>
          <cell r="E98">
            <v>-0.55686820785747493</v>
          </cell>
          <cell r="F98">
            <v>8.9122000000000003</v>
          </cell>
        </row>
        <row r="99">
          <cell r="A99">
            <v>43101</v>
          </cell>
          <cell r="B99">
            <v>3.68</v>
          </cell>
          <cell r="C99">
            <v>4.4770000000000003</v>
          </cell>
          <cell r="D99">
            <v>2844.14</v>
          </cell>
          <cell r="E99">
            <v>-3.15</v>
          </cell>
          <cell r="F99">
            <v>12.1374</v>
          </cell>
        </row>
        <row r="100">
          <cell r="A100">
            <v>43132</v>
          </cell>
          <cell r="B100">
            <v>3.37</v>
          </cell>
          <cell r="C100">
            <v>4.4130000000000003</v>
          </cell>
          <cell r="D100">
            <v>2855.93</v>
          </cell>
          <cell r="E100">
            <v>-1.39</v>
          </cell>
          <cell r="F100">
            <v>11.1882</v>
          </cell>
        </row>
        <row r="101">
          <cell r="A101">
            <v>43160</v>
          </cell>
          <cell r="B101">
            <v>3.14</v>
          </cell>
          <cell r="C101">
            <v>4.3319999999999999</v>
          </cell>
          <cell r="D101">
            <v>2780.47</v>
          </cell>
          <cell r="E101">
            <v>-3.46</v>
          </cell>
          <cell r="F101">
            <v>9.7715999999999994</v>
          </cell>
        </row>
        <row r="102">
          <cell r="A102">
            <v>43191</v>
          </cell>
          <cell r="B102">
            <v>3.13</v>
          </cell>
          <cell r="C102">
            <v>4.1980000000000004</v>
          </cell>
          <cell r="D102">
            <v>2806.28</v>
          </cell>
          <cell r="E102">
            <v>-4.8024831656970202</v>
          </cell>
          <cell r="F102">
            <v>9.7292000000000005</v>
          </cell>
        </row>
        <row r="103">
          <cell r="A103">
            <v>43221</v>
          </cell>
          <cell r="B103">
            <v>3.16</v>
          </cell>
          <cell r="C103">
            <v>4.202</v>
          </cell>
          <cell r="D103">
            <v>2879.32</v>
          </cell>
          <cell r="E103">
            <v>-1.4073318221351701</v>
          </cell>
          <cell r="F103">
            <v>9.9794999999999998</v>
          </cell>
        </row>
        <row r="104">
          <cell r="A104">
            <v>43252</v>
          </cell>
          <cell r="B104">
            <v>3.2</v>
          </cell>
          <cell r="C104">
            <v>4.2519999999999998</v>
          </cell>
          <cell r="D104">
            <v>2930.8</v>
          </cell>
          <cell r="E104">
            <v>-3.5368928268153499</v>
          </cell>
          <cell r="F104">
            <v>9.3085000000000004</v>
          </cell>
        </row>
        <row r="105">
          <cell r="A105">
            <v>43282</v>
          </cell>
          <cell r="B105">
            <v>3.12</v>
          </cell>
          <cell r="C105">
            <v>4.2460000000000004</v>
          </cell>
          <cell r="D105">
            <v>2875.72</v>
          </cell>
          <cell r="E105">
            <v>-3.9899999999999998</v>
          </cell>
          <cell r="F105">
            <v>10.042299999999999</v>
          </cell>
        </row>
        <row r="106">
          <cell r="A106">
            <v>43313</v>
          </cell>
          <cell r="B106">
            <v>3.1</v>
          </cell>
          <cell r="C106">
            <v>4.25</v>
          </cell>
          <cell r="D106">
            <v>3027.39</v>
          </cell>
          <cell r="E106">
            <v>3.0700000000000003</v>
          </cell>
          <cell r="F106">
            <v>9.4291999999999998</v>
          </cell>
        </row>
        <row r="107">
          <cell r="A107">
            <v>43344</v>
          </cell>
          <cell r="B107">
            <v>3.23</v>
          </cell>
          <cell r="C107">
            <v>4.2560000000000002</v>
          </cell>
          <cell r="D107">
            <v>2972.18</v>
          </cell>
          <cell r="E107">
            <v>1.21</v>
          </cell>
          <cell r="F107">
            <v>9.6707000000000001</v>
          </cell>
        </row>
        <row r="108">
          <cell r="A108">
            <v>43374</v>
          </cell>
          <cell r="B108">
            <v>3.33</v>
          </cell>
          <cell r="C108">
            <v>4.2830000000000004</v>
          </cell>
          <cell r="D108">
            <v>3202.44</v>
          </cell>
          <cell r="E108">
            <v>6.3424806736976258</v>
          </cell>
          <cell r="F108">
            <v>9.3614999999999995</v>
          </cell>
        </row>
        <row r="109">
          <cell r="A109">
            <v>43405</v>
          </cell>
          <cell r="B109">
            <v>3.27</v>
          </cell>
          <cell r="C109">
            <v>4.2779999999999996</v>
          </cell>
          <cell r="D109">
            <v>3240.02</v>
          </cell>
          <cell r="E109">
            <v>7.7818694716392356</v>
          </cell>
          <cell r="F109">
            <v>8.9905000000000008</v>
          </cell>
        </row>
        <row r="110">
          <cell r="A110">
            <v>43435</v>
          </cell>
          <cell r="B110">
            <v>3.18</v>
          </cell>
          <cell r="C110">
            <v>4.2670000000000003</v>
          </cell>
          <cell r="D110">
            <v>3249.75</v>
          </cell>
          <cell r="E110">
            <v>8.9058310991957157</v>
          </cell>
          <cell r="F110">
            <v>9.9891000000000005</v>
          </cell>
        </row>
        <row r="111">
          <cell r="A111">
            <v>43466</v>
          </cell>
          <cell r="B111">
            <v>3.15</v>
          </cell>
          <cell r="C111">
            <v>4.2560000000000002</v>
          </cell>
          <cell r="D111">
            <v>3163.46</v>
          </cell>
          <cell r="E111">
            <v>11.23</v>
          </cell>
          <cell r="F111">
            <v>13.075200000000001</v>
          </cell>
        </row>
        <row r="112">
          <cell r="A112">
            <v>43497</v>
          </cell>
          <cell r="B112">
            <v>3.01</v>
          </cell>
          <cell r="C112">
            <v>4.2649999999999997</v>
          </cell>
          <cell r="D112">
            <v>3072.01</v>
          </cell>
          <cell r="E112">
            <v>7.57</v>
          </cell>
          <cell r="F112">
            <v>12.092599999999999</v>
          </cell>
        </row>
        <row r="113">
          <cell r="A113">
            <v>43525</v>
          </cell>
          <cell r="B113">
            <v>3.21</v>
          </cell>
          <cell r="C113">
            <v>4.26</v>
          </cell>
          <cell r="D113">
            <v>3174.79</v>
          </cell>
          <cell r="E113">
            <v>14.180000000000001</v>
          </cell>
          <cell r="F113">
            <v>11.1814</v>
          </cell>
        </row>
        <row r="114">
          <cell r="A114">
            <v>43556</v>
          </cell>
          <cell r="B114">
            <v>3.25</v>
          </cell>
          <cell r="C114">
            <v>4.2590000000000003</v>
          </cell>
          <cell r="D114">
            <v>3247.72</v>
          </cell>
          <cell r="E114">
            <v>15.73</v>
          </cell>
          <cell r="F114">
            <v>10.656599999999999</v>
          </cell>
        </row>
        <row r="115">
          <cell r="A115">
            <v>43586</v>
          </cell>
          <cell r="B115">
            <v>3.31</v>
          </cell>
          <cell r="C115">
            <v>4.2489999999999997</v>
          </cell>
          <cell r="D115">
            <v>3357.82</v>
          </cell>
          <cell r="E115">
            <v>16.619999999999997</v>
          </cell>
          <cell r="F115">
            <v>10.9519</v>
          </cell>
        </row>
        <row r="116">
          <cell r="A116">
            <v>43617</v>
          </cell>
          <cell r="B116">
            <v>3.43</v>
          </cell>
          <cell r="C116">
            <v>4.2160000000000002</v>
          </cell>
          <cell r="D116">
            <v>3205.67</v>
          </cell>
          <cell r="E116">
            <v>9.379999999999999</v>
          </cell>
          <cell r="F116">
            <v>9.7228999999999992</v>
          </cell>
        </row>
        <row r="117">
          <cell r="A117">
            <v>43647</v>
          </cell>
          <cell r="B117">
            <v>3.79</v>
          </cell>
          <cell r="C117">
            <v>4.2359999999999998</v>
          </cell>
          <cell r="D117">
            <v>3296.85</v>
          </cell>
          <cell r="E117">
            <v>14.64</v>
          </cell>
          <cell r="F117">
            <v>11.2807</v>
          </cell>
        </row>
        <row r="118">
          <cell r="A118">
            <v>43678</v>
          </cell>
          <cell r="B118">
            <v>3.75</v>
          </cell>
          <cell r="C118">
            <v>4.2569999999999997</v>
          </cell>
          <cell r="D118">
            <v>3427.29</v>
          </cell>
          <cell r="E118">
            <v>13.209999999999999</v>
          </cell>
          <cell r="F118">
            <v>11.1973</v>
          </cell>
        </row>
        <row r="119">
          <cell r="A119">
            <v>43709</v>
          </cell>
          <cell r="B119">
            <v>3.82</v>
          </cell>
          <cell r="C119">
            <v>4.25</v>
          </cell>
          <cell r="D119">
            <v>3462.01</v>
          </cell>
          <cell r="E119">
            <v>16.48</v>
          </cell>
          <cell r="F119">
            <v>10.8003</v>
          </cell>
        </row>
        <row r="120">
          <cell r="A120">
            <v>43739</v>
          </cell>
          <cell r="B120">
            <v>3.86</v>
          </cell>
          <cell r="C120">
            <v>4.2629999999999999</v>
          </cell>
          <cell r="D120">
            <v>3389.94</v>
          </cell>
          <cell r="E120">
            <v>5.85</v>
          </cell>
          <cell r="F120">
            <v>10.1236</v>
          </cell>
        </row>
        <row r="121">
          <cell r="A121">
            <v>43770</v>
          </cell>
          <cell r="B121">
            <v>3.84</v>
          </cell>
          <cell r="C121">
            <v>4.26</v>
          </cell>
          <cell r="D121">
            <v>3522.48</v>
          </cell>
          <cell r="E121">
            <v>8.7200000000000006</v>
          </cell>
          <cell r="F121">
            <v>9.6186000000000007</v>
          </cell>
        </row>
        <row r="122">
          <cell r="A122">
            <v>43800</v>
          </cell>
          <cell r="B122">
            <v>3.8</v>
          </cell>
          <cell r="C122">
            <v>4.258</v>
          </cell>
          <cell r="D122">
            <v>3277.14</v>
          </cell>
          <cell r="E122">
            <v>0.8428340641587706</v>
          </cell>
          <cell r="F122">
            <v>9.9497</v>
          </cell>
        </row>
        <row r="123">
          <cell r="A123">
            <v>43831</v>
          </cell>
          <cell r="B123">
            <v>3.62</v>
          </cell>
          <cell r="C123">
            <v>4.258</v>
          </cell>
          <cell r="D123">
            <v>3411.45</v>
          </cell>
          <cell r="E123">
            <v>7.84</v>
          </cell>
          <cell r="F123">
            <v>13.458500000000001</v>
          </cell>
        </row>
        <row r="124">
          <cell r="A124">
            <v>43862</v>
          </cell>
          <cell r="B124">
            <v>3.72</v>
          </cell>
          <cell r="C124">
            <v>4.2519999999999998</v>
          </cell>
          <cell r="D124">
            <v>3539.86</v>
          </cell>
          <cell r="E124">
            <v>15.229999999999999</v>
          </cell>
          <cell r="F124">
            <v>12.8131</v>
          </cell>
        </row>
        <row r="125">
          <cell r="A125">
            <v>43891</v>
          </cell>
          <cell r="B125">
            <v>3.86</v>
          </cell>
          <cell r="C125">
            <v>3.3719999999999999</v>
          </cell>
          <cell r="D125">
            <v>4064.81</v>
          </cell>
          <cell r="E125">
            <v>28.03</v>
          </cell>
          <cell r="F125">
            <v>13.1828</v>
          </cell>
        </row>
        <row r="126">
          <cell r="A126">
            <v>43922</v>
          </cell>
          <cell r="B126">
            <v>3.51</v>
          </cell>
          <cell r="C126">
            <v>2.9420000000000002</v>
          </cell>
          <cell r="D126">
            <v>3983.29</v>
          </cell>
          <cell r="E126">
            <v>22.650000000000002</v>
          </cell>
          <cell r="F126">
            <v>20.485299999999999</v>
          </cell>
        </row>
        <row r="127">
          <cell r="A127">
            <v>43952</v>
          </cell>
          <cell r="B127">
            <v>2.85</v>
          </cell>
          <cell r="C127">
            <v>2.548</v>
          </cell>
          <cell r="D127">
            <v>3718.82</v>
          </cell>
          <cell r="E127">
            <v>10.75</v>
          </cell>
          <cell r="F127">
            <v>21.972000000000001</v>
          </cell>
        </row>
        <row r="128">
          <cell r="A128">
            <v>43983</v>
          </cell>
          <cell r="B128">
            <v>2.19</v>
          </cell>
          <cell r="C128">
            <v>2.2730000000000001</v>
          </cell>
          <cell r="D128">
            <v>3758.91</v>
          </cell>
          <cell r="E128">
            <v>17.260000000000002</v>
          </cell>
          <cell r="F128">
            <v>20.359100000000002</v>
          </cell>
        </row>
        <row r="129">
          <cell r="A129">
            <v>44013</v>
          </cell>
          <cell r="B129">
            <v>1.97</v>
          </cell>
          <cell r="C129">
            <v>2.141</v>
          </cell>
          <cell r="D129">
            <v>3739.49</v>
          </cell>
          <cell r="E129">
            <v>13.43</v>
          </cell>
          <cell r="F129">
            <v>20.9147</v>
          </cell>
        </row>
        <row r="130">
          <cell r="A130">
            <v>44044</v>
          </cell>
          <cell r="B130">
            <v>1.88</v>
          </cell>
          <cell r="C130">
            <v>2.0630000000000002</v>
          </cell>
          <cell r="D130">
            <v>3760.38</v>
          </cell>
          <cell r="E130">
            <v>9.7200000000000006</v>
          </cell>
          <cell r="F130">
            <v>17.442699999999999</v>
          </cell>
        </row>
        <row r="131">
          <cell r="A131">
            <v>44075</v>
          </cell>
          <cell r="B131">
            <v>1.97</v>
          </cell>
          <cell r="C131">
            <v>1.7370000000000001</v>
          </cell>
          <cell r="D131">
            <v>3878.94</v>
          </cell>
          <cell r="E131">
            <v>12.04</v>
          </cell>
          <cell r="F131">
            <v>16.2928</v>
          </cell>
        </row>
        <row r="132">
          <cell r="A132">
            <v>44105</v>
          </cell>
          <cell r="B132">
            <v>1.75</v>
          </cell>
          <cell r="C132">
            <v>1.7190000000000001</v>
          </cell>
          <cell r="D132">
            <v>3858.56</v>
          </cell>
          <cell r="E132">
            <v>13.819999999999999</v>
          </cell>
          <cell r="F132">
            <v>15.2814</v>
          </cell>
        </row>
        <row r="133">
          <cell r="A133">
            <v>44136</v>
          </cell>
          <cell r="B133">
            <v>1.49</v>
          </cell>
          <cell r="C133">
            <v>1.748</v>
          </cell>
          <cell r="D133">
            <v>3611.44</v>
          </cell>
          <cell r="E133">
            <v>2.5299999999999998</v>
          </cell>
          <cell r="F133">
            <v>13.912800000000001</v>
          </cell>
        </row>
        <row r="134">
          <cell r="A134">
            <v>44166</v>
          </cell>
          <cell r="B134">
            <v>1.61</v>
          </cell>
          <cell r="C134">
            <v>1.728</v>
          </cell>
          <cell r="D134">
            <v>3432.5</v>
          </cell>
          <cell r="E134">
            <v>4.74</v>
          </cell>
          <cell r="F134">
            <v>13.914199999999999</v>
          </cell>
        </row>
        <row r="135">
          <cell r="A135">
            <v>44197</v>
          </cell>
          <cell r="B135">
            <v>1.6</v>
          </cell>
          <cell r="C135">
            <v>1.6930000000000001</v>
          </cell>
          <cell r="D135">
            <v>3559.46</v>
          </cell>
          <cell r="E135">
            <v>4.34</v>
          </cell>
          <cell r="F135">
            <v>17.563300000000002</v>
          </cell>
        </row>
        <row r="136">
          <cell r="A136">
            <v>44228</v>
          </cell>
          <cell r="B136">
            <v>1.56</v>
          </cell>
          <cell r="C136">
            <v>1.728</v>
          </cell>
          <cell r="D136">
            <v>3624.39</v>
          </cell>
          <cell r="E136">
            <v>2.39</v>
          </cell>
          <cell r="F136">
            <v>15.5852</v>
          </cell>
        </row>
        <row r="137">
          <cell r="A137">
            <v>44256</v>
          </cell>
          <cell r="B137">
            <v>1.51</v>
          </cell>
          <cell r="C137">
            <v>1.772</v>
          </cell>
          <cell r="D137">
            <v>3736.91</v>
          </cell>
          <cell r="E137">
            <v>-8.07</v>
          </cell>
          <cell r="F137">
            <v>14.7255</v>
          </cell>
        </row>
        <row r="138">
          <cell r="A138">
            <v>44287</v>
          </cell>
          <cell r="B138">
            <v>1.95</v>
          </cell>
          <cell r="C138">
            <v>1.7450000000000001</v>
          </cell>
          <cell r="D138">
            <v>3712.89</v>
          </cell>
          <cell r="E138">
            <v>-6.79</v>
          </cell>
          <cell r="F138">
            <v>15.488</v>
          </cell>
        </row>
        <row r="139">
          <cell r="A139">
            <v>44317</v>
          </cell>
          <cell r="B139">
            <v>3.3</v>
          </cell>
          <cell r="C139">
            <v>1.837</v>
          </cell>
          <cell r="D139">
            <v>3715.28</v>
          </cell>
          <cell r="E139">
            <v>-0.1</v>
          </cell>
          <cell r="F139">
            <v>15.2042</v>
          </cell>
        </row>
        <row r="140">
          <cell r="A140">
            <v>44348</v>
          </cell>
          <cell r="B140">
            <v>3.63</v>
          </cell>
          <cell r="C140">
            <v>1.923</v>
          </cell>
          <cell r="D140">
            <v>3756.67</v>
          </cell>
          <cell r="E140">
            <v>-0.06</v>
          </cell>
          <cell r="F140">
            <v>14.646599999999999</v>
          </cell>
        </row>
        <row r="141">
          <cell r="A141">
            <v>44378</v>
          </cell>
          <cell r="B141">
            <v>3.97</v>
          </cell>
          <cell r="C141">
            <v>1.863</v>
          </cell>
          <cell r="D141">
            <v>3867.88</v>
          </cell>
          <cell r="E141">
            <v>3.43</v>
          </cell>
          <cell r="F141">
            <v>13.0585</v>
          </cell>
        </row>
        <row r="142">
          <cell r="A142">
            <v>44409</v>
          </cell>
          <cell r="B142">
            <v>4.4400000000000004</v>
          </cell>
          <cell r="C142">
            <v>2.0249999999999999</v>
          </cell>
          <cell r="D142">
            <v>3806.87</v>
          </cell>
          <cell r="E142">
            <v>1.24</v>
          </cell>
          <cell r="F142">
            <v>12.8614</v>
          </cell>
        </row>
        <row r="143">
          <cell r="A143">
            <v>44440</v>
          </cell>
          <cell r="B143">
            <v>4.51</v>
          </cell>
          <cell r="C143">
            <v>2.4449999999999998</v>
          </cell>
          <cell r="D143">
            <v>3834.68</v>
          </cell>
          <cell r="E143">
            <v>-1.1399999999999999</v>
          </cell>
          <cell r="F143">
            <v>11.9613</v>
          </cell>
        </row>
        <row r="144">
          <cell r="A144">
            <v>44470</v>
          </cell>
          <cell r="B144">
            <v>4.58</v>
          </cell>
          <cell r="C144">
            <v>2.6859999999999999</v>
          </cell>
          <cell r="D144">
            <v>3784.44</v>
          </cell>
          <cell r="E144">
            <v>-1.92</v>
          </cell>
          <cell r="F144">
            <v>11.995200000000001</v>
          </cell>
        </row>
        <row r="145">
          <cell r="A145">
            <v>44501</v>
          </cell>
          <cell r="B145">
            <v>5.26</v>
          </cell>
          <cell r="C145">
            <v>3.0910000000000002</v>
          </cell>
          <cell r="D145">
            <v>4010.98</v>
          </cell>
          <cell r="E145">
            <v>11.06</v>
          </cell>
          <cell r="F145">
            <v>11.533099999999999</v>
          </cell>
        </row>
        <row r="146">
          <cell r="A146">
            <v>44531</v>
          </cell>
          <cell r="B146">
            <v>5.6226713901415648</v>
          </cell>
          <cell r="C146">
            <v>3.5110000000000001</v>
          </cell>
          <cell r="D146">
            <v>3981.16</v>
          </cell>
          <cell r="E146">
            <v>15.98</v>
          </cell>
          <cell r="F146">
            <v>11.096500000000001</v>
          </cell>
        </row>
        <row r="147">
          <cell r="A147">
            <v>44562</v>
          </cell>
          <cell r="B147">
            <v>6.9445991916718297</v>
          </cell>
          <cell r="C147">
            <v>4.3739999999999997</v>
          </cell>
          <cell r="D147">
            <v>3982.6</v>
          </cell>
          <cell r="E147">
            <v>11.887758255465709</v>
          </cell>
          <cell r="F147">
            <v>14.6473</v>
          </cell>
        </row>
        <row r="148">
          <cell r="A148">
            <v>44593</v>
          </cell>
          <cell r="B148">
            <v>8.005195301860347</v>
          </cell>
          <cell r="C148">
            <v>5.2560000000000002</v>
          </cell>
          <cell r="D148">
            <v>3910.64</v>
          </cell>
          <cell r="E148">
            <v>7.8978807468291112</v>
          </cell>
          <cell r="F148">
            <v>12.905200000000001</v>
          </cell>
        </row>
        <row r="149">
          <cell r="A149">
            <v>44621</v>
          </cell>
          <cell r="B149">
            <v>8.5278752531998681</v>
          </cell>
          <cell r="C149">
            <v>6.3470000000000004</v>
          </cell>
          <cell r="D149">
            <v>3748.15</v>
          </cell>
          <cell r="E149">
            <v>0.30078326745894834</v>
          </cell>
          <cell r="F149">
            <v>12.1212</v>
          </cell>
        </row>
        <row r="150">
          <cell r="A150">
            <v>44652</v>
          </cell>
          <cell r="B150">
            <v>9.2341040422196485</v>
          </cell>
          <cell r="C150">
            <v>6.4589999999999996</v>
          </cell>
          <cell r="D150">
            <v>3966.27</v>
          </cell>
          <cell r="E150">
            <v>6.8243336053586345</v>
          </cell>
          <cell r="F150">
            <v>11.1685</v>
          </cell>
        </row>
        <row r="151">
          <cell r="A151">
            <v>44682</v>
          </cell>
          <cell r="B151">
            <v>9.0667767289255288</v>
          </cell>
          <cell r="C151">
            <v>7.2329999999999997</v>
          </cell>
          <cell r="D151">
            <v>3912.34</v>
          </cell>
          <cell r="E151">
            <v>5.3040416873021634</v>
          </cell>
          <cell r="F151">
            <v>10.648300000000001</v>
          </cell>
        </row>
        <row r="152">
          <cell r="A152">
            <v>44713</v>
          </cell>
          <cell r="B152">
            <v>9.6738344957970401</v>
          </cell>
          <cell r="C152">
            <v>8.3279999999999994</v>
          </cell>
          <cell r="D152">
            <v>4127.47</v>
          </cell>
          <cell r="E152">
            <v>9.8704437706798931</v>
          </cell>
          <cell r="F152">
            <v>11.261200000000001</v>
          </cell>
        </row>
        <row r="153">
          <cell r="A153">
            <v>44743</v>
          </cell>
          <cell r="B153">
            <v>10.205825019961434</v>
          </cell>
          <cell r="C153">
            <v>9.2840000000000007</v>
          </cell>
          <cell r="D153">
            <v>4300.3</v>
          </cell>
          <cell r="E153">
            <v>11.179767728057755</v>
          </cell>
          <cell r="F153">
            <v>10.988899999999999</v>
          </cell>
        </row>
        <row r="154">
          <cell r="A154">
            <v>44774</v>
          </cell>
          <cell r="B154">
            <v>10.835976009571645</v>
          </cell>
          <cell r="C154">
            <v>9.9749999999999996</v>
          </cell>
          <cell r="D154">
            <v>4400.16</v>
          </cell>
          <cell r="E154">
            <v>15.584719205016185</v>
          </cell>
          <cell r="F154">
            <v>10.6313</v>
          </cell>
        </row>
        <row r="155">
          <cell r="A155">
            <v>44805</v>
          </cell>
          <cell r="B155">
            <v>11.439885674114514</v>
          </cell>
          <cell r="C155">
            <v>10.712</v>
          </cell>
          <cell r="D155">
            <v>4532.07</v>
          </cell>
          <cell r="E155">
            <v>18.186393649535294</v>
          </cell>
          <cell r="F155">
            <v>10.7484</v>
          </cell>
        </row>
        <row r="156">
          <cell r="A156">
            <v>44835</v>
          </cell>
          <cell r="B156">
            <v>12.221753580520534</v>
          </cell>
          <cell r="C156">
            <v>11.454000000000001</v>
          </cell>
          <cell r="D156">
            <v>4819.12</v>
          </cell>
          <cell r="E156">
            <v>27.340372683937385</v>
          </cell>
          <cell r="F156">
            <v>9.7210000000000001</v>
          </cell>
        </row>
        <row r="157">
          <cell r="A157">
            <v>44866</v>
          </cell>
          <cell r="B157">
            <v>12.531461584182878</v>
          </cell>
          <cell r="C157">
            <v>11.722</v>
          </cell>
          <cell r="D157">
            <v>4809.51</v>
          </cell>
          <cell r="E157">
            <v>19.908600890555441</v>
          </cell>
          <cell r="F157">
            <v>9.5007999999999999</v>
          </cell>
        </row>
        <row r="158">
          <cell r="A158">
            <v>44896</v>
          </cell>
          <cell r="B158">
            <v>13.122464299463799</v>
          </cell>
          <cell r="C158">
            <v>12.359</v>
          </cell>
          <cell r="D158">
            <v>4810.2</v>
          </cell>
          <cell r="E158">
            <v>20.824081423504715</v>
          </cell>
          <cell r="F158">
            <v>10.2727</v>
          </cell>
        </row>
        <row r="159">
          <cell r="A159">
            <v>44927</v>
          </cell>
          <cell r="B159">
            <v>13.251978835328559</v>
          </cell>
          <cell r="C159">
            <v>12.834</v>
          </cell>
          <cell r="D159">
            <v>4632.2</v>
          </cell>
          <cell r="E159">
            <v>16.310952644001397</v>
          </cell>
          <cell r="F159">
            <v>13.704360068</v>
          </cell>
        </row>
        <row r="160">
          <cell r="A160">
            <v>44958</v>
          </cell>
          <cell r="B160">
            <v>13.279013337512403</v>
          </cell>
          <cell r="C160">
            <v>13.071</v>
          </cell>
          <cell r="D160">
            <v>4808.1400000000003</v>
          </cell>
          <cell r="E160">
            <v>22.950207638647392</v>
          </cell>
          <cell r="F160">
            <v>11.353126105999999</v>
          </cell>
        </row>
        <row r="161">
          <cell r="A161">
            <v>44986</v>
          </cell>
          <cell r="B161">
            <v>13.344330593537235</v>
          </cell>
          <cell r="C161">
            <v>13.007</v>
          </cell>
          <cell r="D161">
            <v>4627.2700000000004</v>
          </cell>
          <cell r="E161">
            <v>23.454771020370057</v>
          </cell>
          <cell r="F161">
            <v>10.032543955</v>
          </cell>
        </row>
        <row r="162">
          <cell r="A162">
            <v>45017</v>
          </cell>
          <cell r="B162">
            <v>12.82287174741008</v>
          </cell>
          <cell r="C162">
            <v>13.15</v>
          </cell>
          <cell r="D162">
            <v>4669</v>
          </cell>
          <cell r="E162">
            <v>17.717654118353021</v>
          </cell>
          <cell r="F162">
            <v>10.724700482999999</v>
          </cell>
        </row>
        <row r="163">
          <cell r="A163">
            <v>45047</v>
          </cell>
          <cell r="B163">
            <v>12.360253381479168</v>
          </cell>
          <cell r="C163">
            <v>13.239000000000001</v>
          </cell>
          <cell r="D163">
            <v>4408.6499999999996</v>
          </cell>
          <cell r="E163">
            <v>12.685758395231495</v>
          </cell>
          <cell r="F163">
            <v>10.475099999999999</v>
          </cell>
        </row>
        <row r="164">
          <cell r="A164">
            <v>45078</v>
          </cell>
          <cell r="B164">
            <v>12.129615062268439</v>
          </cell>
          <cell r="C164">
            <v>13.254</v>
          </cell>
          <cell r="D164">
            <v>4191.28</v>
          </cell>
          <cell r="E164">
            <v>1.545983374803428</v>
          </cell>
          <cell r="F164">
            <v>9.3423096210000001</v>
          </cell>
        </row>
        <row r="165">
          <cell r="A165">
            <v>45108</v>
          </cell>
          <cell r="B165">
            <v>11.78</v>
          </cell>
          <cell r="C165">
            <v>13.112</v>
          </cell>
          <cell r="D165">
            <v>3923.49</v>
          </cell>
          <cell r="E165">
            <v>-8.762411924749447</v>
          </cell>
          <cell r="F165">
            <v>9.5728505639999995</v>
          </cell>
        </row>
        <row r="166">
          <cell r="A166">
            <v>45139</v>
          </cell>
          <cell r="B166">
            <v>11.43</v>
          </cell>
          <cell r="C166">
            <v>13.111000000000001</v>
          </cell>
          <cell r="D166">
            <v>4085.33</v>
          </cell>
          <cell r="E166">
            <v>-7.1549670921057356</v>
          </cell>
          <cell r="F166">
            <v>9.2773719989999996</v>
          </cell>
        </row>
        <row r="167">
          <cell r="A167">
            <v>45170</v>
          </cell>
          <cell r="B167">
            <v>10.99</v>
          </cell>
          <cell r="C167">
            <v>13.085000000000001</v>
          </cell>
          <cell r="D167">
            <v>4053.76</v>
          </cell>
          <cell r="E167">
            <v>-10.553897005121271</v>
          </cell>
          <cell r="F167">
            <v>9.2526741799999996</v>
          </cell>
        </row>
        <row r="168">
          <cell r="A168">
            <v>45200</v>
          </cell>
          <cell r="B168">
            <v>10.48</v>
          </cell>
          <cell r="C168">
            <v>13.092000000000001</v>
          </cell>
          <cell r="D168">
            <v>4060.83</v>
          </cell>
          <cell r="E168">
            <v>-15.735030461993061</v>
          </cell>
          <cell r="F168">
            <v>9.2309123839999998</v>
          </cell>
        </row>
        <row r="169">
          <cell r="A169">
            <v>45231</v>
          </cell>
          <cell r="B169">
            <v>10.15</v>
          </cell>
          <cell r="C169">
            <v>12.916</v>
          </cell>
          <cell r="D169">
            <v>3980.67</v>
          </cell>
          <cell r="E169">
            <v>-17.233356412607527</v>
          </cell>
          <cell r="F169">
            <v>9.0073861569999991</v>
          </cell>
        </row>
        <row r="170">
          <cell r="A170">
            <v>45261</v>
          </cell>
          <cell r="B170">
            <v>9.2760550452018151</v>
          </cell>
          <cell r="C170">
            <v>12.714</v>
          </cell>
          <cell r="D170">
            <v>3822.05</v>
          </cell>
          <cell r="E170">
            <v>-20.542804872978248</v>
          </cell>
          <cell r="F170">
            <v>10.013717396181599</v>
          </cell>
        </row>
        <row r="171">
          <cell r="A171">
            <v>45292</v>
          </cell>
          <cell r="B171">
            <v>8.3465636999175743</v>
          </cell>
          <cell r="C171">
            <v>12.397</v>
          </cell>
          <cell r="D171">
            <v>3925.6</v>
          </cell>
          <cell r="E171">
            <v>-15.25409092871638</v>
          </cell>
          <cell r="F171">
            <v>12.661635826705913</v>
          </cell>
        </row>
        <row r="172">
          <cell r="A172">
            <v>45323</v>
          </cell>
          <cell r="B172">
            <v>7.7373806718130433</v>
          </cell>
          <cell r="C172">
            <v>12.226000000000001</v>
          </cell>
          <cell r="D172">
            <v>3933.56</v>
          </cell>
          <cell r="E172">
            <v>-18.18957018722417</v>
          </cell>
          <cell r="F172">
            <v>11.666144792067652</v>
          </cell>
        </row>
        <row r="173">
          <cell r="A173">
            <v>45352</v>
          </cell>
          <cell r="B173">
            <v>7.3626914348644767</v>
          </cell>
          <cell r="C173">
            <v>11.827999999999999</v>
          </cell>
          <cell r="D173">
            <v>3842.3</v>
          </cell>
          <cell r="E173">
            <v>-16.96399821060799</v>
          </cell>
          <cell r="F173">
            <v>11.285719499435782</v>
          </cell>
        </row>
        <row r="174">
          <cell r="A174">
            <v>45383</v>
          </cell>
          <cell r="B174">
            <v>7.163281126755483</v>
          </cell>
          <cell r="C174">
            <v>11.56</v>
          </cell>
          <cell r="D174">
            <v>3873.44</v>
          </cell>
          <cell r="E174">
            <v>-17.039194688370095</v>
          </cell>
          <cell r="F174">
            <v>10.646715730368971</v>
          </cell>
        </row>
        <row r="175">
          <cell r="A175">
            <v>45413</v>
          </cell>
          <cell r="B175">
            <v>7.1569275409043343</v>
          </cell>
          <cell r="C175">
            <v>11.167</v>
          </cell>
          <cell r="D175">
            <v>3874.32</v>
          </cell>
          <cell r="E175">
            <v>-12.12003674594262</v>
          </cell>
          <cell r="F175">
            <v>10.305870827614305</v>
          </cell>
        </row>
        <row r="176">
          <cell r="A176">
            <v>45444</v>
          </cell>
          <cell r="B176">
            <v>7.1824626350778464</v>
          </cell>
          <cell r="C176">
            <v>10.866</v>
          </cell>
          <cell r="D176">
            <v>4148.04</v>
          </cell>
          <cell r="E176">
            <v>-1.0316657441163501</v>
          </cell>
          <cell r="F176">
            <v>10.268590171466832</v>
          </cell>
        </row>
        <row r="177">
          <cell r="A177">
            <v>45474</v>
          </cell>
          <cell r="B177">
            <v>6.8600414451028602</v>
          </cell>
          <cell r="C177">
            <v>10.523999999999999</v>
          </cell>
          <cell r="D177">
            <v>4089.05</v>
          </cell>
          <cell r="E177">
            <v>4.2197125518352419</v>
          </cell>
          <cell r="F177">
            <v>9.9181446285116568</v>
          </cell>
        </row>
        <row r="178">
          <cell r="A178">
            <v>45505</v>
          </cell>
          <cell r="B178">
            <v>6.1204537923945646</v>
          </cell>
          <cell r="C178">
            <v>10.179</v>
          </cell>
          <cell r="D178">
            <v>4160.3100000000004</v>
          </cell>
          <cell r="E178">
            <v>1.8353474505119705</v>
          </cell>
          <cell r="F178">
            <v>9.6626578419937097</v>
          </cell>
        </row>
        <row r="179">
          <cell r="A179">
            <v>45536</v>
          </cell>
          <cell r="B179">
            <v>5.8087765966825522</v>
          </cell>
          <cell r="C179">
            <v>9.7149999999999999</v>
          </cell>
          <cell r="D179">
            <v>4164.21</v>
          </cell>
          <cell r="E179">
            <v>2.7246309598989438</v>
          </cell>
          <cell r="F179">
            <v>9.1344769517755928</v>
          </cell>
        </row>
        <row r="180">
          <cell r="A180">
            <v>45566</v>
          </cell>
          <cell r="B180">
            <v>5.4061275728907843</v>
          </cell>
          <cell r="C180">
            <v>9.4469999999999992</v>
          </cell>
          <cell r="D180">
            <v>4413.46</v>
          </cell>
          <cell r="E180">
            <v>8.6836927426166675</v>
          </cell>
          <cell r="F180">
            <v>9.1337601500858749</v>
          </cell>
        </row>
        <row r="181">
          <cell r="A181">
            <v>45597</v>
          </cell>
          <cell r="B181">
            <v>5.1973577964305795</v>
          </cell>
          <cell r="C181">
            <v>9.25</v>
          </cell>
          <cell r="D181">
            <v>4419.59</v>
          </cell>
          <cell r="E181">
            <v>11.026284519942632</v>
          </cell>
          <cell r="F181">
            <v>8.1687634793625499</v>
          </cell>
        </row>
        <row r="182">
          <cell r="A182">
            <v>45627</v>
          </cell>
          <cell r="B182">
            <v>5.2030659303403448</v>
          </cell>
          <cell r="C182">
            <v>9.3960000000000008</v>
          </cell>
          <cell r="D182">
            <v>4409.1499999999996</v>
          </cell>
          <cell r="E182">
            <v>15.36</v>
          </cell>
          <cell r="F182">
            <v>9.1252953803636494</v>
          </cell>
        </row>
        <row r="183">
          <cell r="A183">
            <v>45658</v>
          </cell>
          <cell r="B183">
            <v>5.22298042310545</v>
          </cell>
          <cell r="C183">
            <v>9.2360000000000007</v>
          </cell>
          <cell r="D183">
            <v>4170.01</v>
          </cell>
          <cell r="E183">
            <v>6.2260546158549035</v>
          </cell>
          <cell r="F183">
            <v>11.636036642818445</v>
          </cell>
        </row>
        <row r="184">
          <cell r="A184">
            <v>45689</v>
          </cell>
          <cell r="B184">
            <v>5.2765843800580248</v>
          </cell>
          <cell r="C184">
            <v>9.2910000000000004</v>
          </cell>
          <cell r="D184">
            <v>4120.1099999999997</v>
          </cell>
          <cell r="E184">
            <v>4.7425233122158961</v>
          </cell>
          <cell r="F184">
            <v>10.33046346346282</v>
          </cell>
        </row>
        <row r="185">
          <cell r="A185">
            <v>45717</v>
          </cell>
          <cell r="B185">
            <v>5.08999660294156</v>
          </cell>
          <cell r="C185">
            <v>9.327</v>
          </cell>
          <cell r="D185">
            <v>4192.57</v>
          </cell>
          <cell r="E185">
            <v>9.1161543866954631</v>
          </cell>
          <cell r="F185">
            <v>9.6163686629637048</v>
          </cell>
        </row>
        <row r="186">
          <cell r="A186">
            <v>45748</v>
          </cell>
          <cell r="B186">
            <v>5.1622882865170583</v>
          </cell>
          <cell r="C186">
            <v>9.3940000000000001</v>
          </cell>
          <cell r="D186">
            <v>4198.83</v>
          </cell>
          <cell r="E186">
            <v>8.4005431864182754</v>
          </cell>
          <cell r="F186">
            <v>8.7825059385890309</v>
          </cell>
        </row>
        <row r="187">
          <cell r="A187">
            <v>45778</v>
          </cell>
          <cell r="B187">
            <v>5.0521050746840324</v>
          </cell>
          <cell r="C187">
            <v>9.1359999999999992</v>
          </cell>
          <cell r="D187">
            <v>4148.72</v>
          </cell>
          <cell r="E187">
            <v>7.0825331929216029</v>
          </cell>
          <cell r="F187">
            <v>9.0364158093294087</v>
          </cell>
        </row>
        <row r="188">
          <cell r="A188">
            <v>45809</v>
          </cell>
          <cell r="B188">
            <v>4.8200721707341909</v>
          </cell>
          <cell r="C188">
            <v>9.1069999999999993</v>
          </cell>
          <cell r="D188">
            <v>4069.67</v>
          </cell>
          <cell r="E188">
            <v>-1.889326043143269</v>
          </cell>
          <cell r="F188">
            <v>8.5540200861558695</v>
          </cell>
        </row>
        <row r="189">
          <cell r="A189">
            <v>45839</v>
          </cell>
          <cell r="B189">
            <v>4.9004634898229371</v>
          </cell>
          <cell r="C189">
            <v>9.0229999999999997</v>
          </cell>
          <cell r="D189">
            <v>4179.6899999999996</v>
          </cell>
          <cell r="E189">
            <v>2.2166517895354509</v>
          </cell>
          <cell r="F189">
            <v>8.8418118741921852</v>
          </cell>
        </row>
        <row r="190">
          <cell r="A190">
            <v>45870</v>
          </cell>
          <cell r="B190">
            <v>5.0955737641477317</v>
          </cell>
          <cell r="C190">
            <v>9.1809999999999992</v>
          </cell>
          <cell r="D190">
            <v>4018.41</v>
          </cell>
          <cell r="E190">
            <v>-3.4108035218529564</v>
          </cell>
          <cell r="F190">
            <v>8.5984509167776952</v>
          </cell>
        </row>
        <row r="191">
          <cell r="A191">
            <v>45901</v>
          </cell>
          <cell r="B191">
            <v>5.1767404992538735</v>
          </cell>
          <cell r="C191">
            <v>9.2070000000000007</v>
          </cell>
          <cell r="D191">
            <v>3901.29</v>
          </cell>
          <cell r="E191">
            <v>-6.3138026180235896</v>
          </cell>
          <cell r="F191">
            <v>8.1734824737352785</v>
          </cell>
        </row>
        <row r="192">
          <cell r="A192">
            <v>45931</v>
          </cell>
          <cell r="B192">
            <v>5.5122302147269098</v>
          </cell>
          <cell r="C192">
            <v>9.2759999999999998</v>
          </cell>
          <cell r="D192">
            <v>3870.42</v>
          </cell>
          <cell r="E192">
            <v>-12.304178580977288</v>
          </cell>
          <cell r="F192">
            <v>8.2036728750044716</v>
          </cell>
        </row>
        <row r="193">
          <cell r="A193">
            <v>45962</v>
          </cell>
          <cell r="B193">
            <v>5.3010692833363793</v>
          </cell>
          <cell r="C193">
            <v>9.4670000000000005</v>
          </cell>
          <cell r="D193">
            <v>3744.43</v>
          </cell>
          <cell r="E193">
            <v>-15.276530175876047</v>
          </cell>
          <cell r="F193">
            <v>7.0248576645484269</v>
          </cell>
        </row>
        <row r="194">
          <cell r="A194">
            <v>45992</v>
          </cell>
          <cell r="B194">
            <v>5.0998826144691867</v>
          </cell>
          <cell r="C194">
            <v>9.8789999999999996</v>
          </cell>
          <cell r="D194">
            <v>3757.08</v>
          </cell>
          <cell r="E194">
            <v>-14.789018291507428</v>
          </cell>
          <cell r="F194">
            <v>7.9771036256359382</v>
          </cell>
        </row>
        <row r="195">
          <cell r="A195">
            <v>46023</v>
          </cell>
          <cell r="B195">
            <v>5.3542122538293047</v>
          </cell>
          <cell r="C195">
            <v>10.08</v>
          </cell>
          <cell r="D195">
            <v>3670.47</v>
          </cell>
          <cell r="E195">
            <v>-11.97934777134828</v>
          </cell>
          <cell r="F195">
            <v>10.859452814202058</v>
          </cell>
        </row>
        <row r="196">
          <cell r="A196">
            <v>46054</v>
          </cell>
          <cell r="B196">
            <v>5.2941176470588047</v>
          </cell>
          <cell r="C196">
            <v>11.14</v>
          </cell>
          <cell r="D196">
            <v>3766.3</v>
          </cell>
          <cell r="E196">
            <v>-8.5873920841919134</v>
          </cell>
          <cell r="F196">
            <v>9.234958425182727</v>
          </cell>
        </row>
        <row r="197">
          <cell r="A197">
            <v>46082</v>
          </cell>
          <cell r="B197">
            <v>5.555555555555558</v>
          </cell>
          <cell r="C197">
            <v>11.654</v>
          </cell>
          <cell r="D197">
            <v>3669.96</v>
          </cell>
          <cell r="E197">
            <v>-12.465146676143746</v>
          </cell>
          <cell r="F197">
            <v>8.7933861147571992</v>
          </cell>
        </row>
        <row r="198">
          <cell r="A198">
            <v>46113</v>
          </cell>
          <cell r="B198">
            <v>5.6862221034344351</v>
          </cell>
          <cell r="C198">
            <v>12.121</v>
          </cell>
          <cell r="D198">
            <v>3621.86</v>
          </cell>
          <cell r="E198">
            <v>-13.741208860563535</v>
          </cell>
          <cell r="F198">
            <v>8.7814568020438806</v>
          </cell>
        </row>
        <row r="199">
          <cell r="A199">
            <v>46143</v>
          </cell>
          <cell r="B199">
            <v>5.8412148661249663</v>
          </cell>
          <cell r="C199">
            <v>11.909000000000001</v>
          </cell>
          <cell r="D199">
            <v>3678.15</v>
          </cell>
          <cell r="E199">
            <v>-11.342534564877848</v>
          </cell>
          <cell r="F199">
            <v>8.0206511267912095</v>
          </cell>
        </row>
        <row r="200">
          <cell r="A200">
            <v>46174</v>
          </cell>
          <cell r="B200">
            <v>6.1410512308715859</v>
          </cell>
          <cell r="C200">
            <v>12.154</v>
          </cell>
          <cell r="D200">
            <v>3443.59</v>
          </cell>
          <cell r="E200">
            <v>-15.384048338071633</v>
          </cell>
          <cell r="F200">
            <v>8.0269262447016398</v>
          </cell>
        </row>
        <row r="201">
          <cell r="A201">
            <v>46204</v>
          </cell>
          <cell r="B201">
            <v>6.0248158715413558</v>
          </cell>
          <cell r="C201">
            <v>12.477</v>
          </cell>
          <cell r="D201">
            <v>3132.42</v>
          </cell>
          <cell r="E201">
            <v>-25.056164452387609</v>
          </cell>
          <cell r="F201">
            <v>8.1045776216098808</v>
          </cell>
        </row>
        <row r="202">
          <cell r="A202">
            <v>46235</v>
          </cell>
          <cell r="B202">
            <v>6.2454467183256979</v>
          </cell>
          <cell r="C202">
            <v>12.092000000000001</v>
          </cell>
          <cell r="D202">
            <v>3202.79</v>
          </cell>
          <cell r="E202">
            <v>-20.297082676979205</v>
          </cell>
          <cell r="F202">
            <v>9.3636797215898699</v>
          </cell>
        </row>
        <row r="203">
          <cell r="A203">
            <v>46266</v>
          </cell>
          <cell r="C203">
            <v>12.243</v>
          </cell>
          <cell r="D203">
            <v>3341.23</v>
          </cell>
          <cell r="E203">
            <v>-14.355764375373269</v>
          </cell>
        </row>
      </sheetData>
      <sheetData sheetId="1">
        <row r="1">
          <cell r="B1" t="str">
            <v>Crecimiento_Economia</v>
          </cell>
        </row>
        <row r="2">
          <cell r="A2">
            <v>40148</v>
          </cell>
          <cell r="B2">
            <v>3.1798941803498875</v>
          </cell>
        </row>
        <row r="3">
          <cell r="A3">
            <v>40238</v>
          </cell>
          <cell r="B3">
            <v>4.1095506329670242</v>
          </cell>
        </row>
        <row r="4">
          <cell r="A4">
            <v>40330</v>
          </cell>
          <cell r="B4">
            <v>4.2312373958444107</v>
          </cell>
        </row>
        <row r="5">
          <cell r="A5">
            <v>40422</v>
          </cell>
          <cell r="B5">
            <v>4.1648683599877803</v>
          </cell>
        </row>
        <row r="6">
          <cell r="A6">
            <v>40513</v>
          </cell>
          <cell r="B6">
            <v>5.4527130657230822</v>
          </cell>
        </row>
        <row r="7">
          <cell r="A7">
            <v>40603</v>
          </cell>
          <cell r="B7">
            <v>6.483238446003563</v>
          </cell>
        </row>
        <row r="8">
          <cell r="A8">
            <v>40695</v>
          </cell>
          <cell r="B8">
            <v>6.9355959438457235</v>
          </cell>
        </row>
        <row r="9">
          <cell r="A9">
            <v>40787</v>
          </cell>
          <cell r="B9">
            <v>8.0138641961539179</v>
          </cell>
        </row>
        <row r="10">
          <cell r="A10">
            <v>40878</v>
          </cell>
          <cell r="B10">
            <v>6.3616253902690181</v>
          </cell>
        </row>
        <row r="11">
          <cell r="A11">
            <v>40969</v>
          </cell>
          <cell r="B11">
            <v>6.1618951115065297</v>
          </cell>
        </row>
        <row r="12">
          <cell r="A12">
            <v>41061</v>
          </cell>
          <cell r="B12">
            <v>4.6947093568785263</v>
          </cell>
        </row>
        <row r="13">
          <cell r="A13">
            <v>41153</v>
          </cell>
          <cell r="B13">
            <v>2.1601877253306747</v>
          </cell>
        </row>
        <row r="14">
          <cell r="A14">
            <v>41244</v>
          </cell>
          <cell r="B14">
            <v>2.737132588943048</v>
          </cell>
        </row>
        <row r="15">
          <cell r="A15">
            <v>41334</v>
          </cell>
          <cell r="B15">
            <v>2.583721256284341</v>
          </cell>
        </row>
        <row r="16">
          <cell r="A16">
            <v>41426</v>
          </cell>
          <cell r="B16">
            <v>5.1972393801482086</v>
          </cell>
        </row>
        <row r="17">
          <cell r="A17">
            <v>41518</v>
          </cell>
          <cell r="B17">
            <v>6.2859634508422859</v>
          </cell>
        </row>
        <row r="18">
          <cell r="A18">
            <v>41609</v>
          </cell>
          <cell r="B18">
            <v>6.4575674358233224</v>
          </cell>
        </row>
        <row r="19">
          <cell r="A19">
            <v>41699</v>
          </cell>
          <cell r="B19">
            <v>6.2878457385323356</v>
          </cell>
        </row>
        <row r="20">
          <cell r="A20">
            <v>41791</v>
          </cell>
          <cell r="B20">
            <v>3.8458965661279079</v>
          </cell>
        </row>
        <row r="21">
          <cell r="A21">
            <v>41883</v>
          </cell>
          <cell r="B21">
            <v>4.1917996743598041</v>
          </cell>
        </row>
        <row r="22">
          <cell r="A22">
            <v>41974</v>
          </cell>
          <cell r="B22">
            <v>3.7365591026118401</v>
          </cell>
        </row>
        <row r="23">
          <cell r="A23">
            <v>42064</v>
          </cell>
          <cell r="B23">
            <v>3.108746262725842</v>
          </cell>
        </row>
        <row r="24">
          <cell r="A24">
            <v>42156</v>
          </cell>
          <cell r="B24">
            <v>3.2752543989544582</v>
          </cell>
        </row>
        <row r="25">
          <cell r="A25">
            <v>42248</v>
          </cell>
          <cell r="B25">
            <v>3.4028809002951044</v>
          </cell>
        </row>
        <row r="26">
          <cell r="A26">
            <v>42339</v>
          </cell>
          <cell r="B26">
            <v>2.0501551424841598</v>
          </cell>
        </row>
        <row r="27">
          <cell r="A27">
            <v>42430</v>
          </cell>
          <cell r="B27">
            <v>2.7221379348244401</v>
          </cell>
        </row>
        <row r="28">
          <cell r="A28">
            <v>42522</v>
          </cell>
          <cell r="B28">
            <v>1.9578447784509074</v>
          </cell>
        </row>
        <row r="29">
          <cell r="A29">
            <v>42614</v>
          </cell>
          <cell r="B29">
            <v>1.3731974081435443</v>
          </cell>
        </row>
        <row r="30">
          <cell r="A30">
            <v>42705</v>
          </cell>
          <cell r="B30">
            <v>2.3061919043535881</v>
          </cell>
        </row>
        <row r="31">
          <cell r="A31">
            <v>42795</v>
          </cell>
          <cell r="B31">
            <v>0.85860790120022268</v>
          </cell>
        </row>
        <row r="32">
          <cell r="A32">
            <v>42887</v>
          </cell>
          <cell r="B32">
            <v>1.6294581038596656</v>
          </cell>
        </row>
        <row r="33">
          <cell r="A33">
            <v>42979</v>
          </cell>
          <cell r="B33">
            <v>1.5630656933697356</v>
          </cell>
        </row>
        <row r="34">
          <cell r="A34">
            <v>43070</v>
          </cell>
          <cell r="B34">
            <v>1.3857116136597794</v>
          </cell>
        </row>
        <row r="35">
          <cell r="A35">
            <v>43160</v>
          </cell>
          <cell r="B35">
            <v>2.1862786885274126</v>
          </cell>
        </row>
        <row r="36">
          <cell r="A36">
            <v>43252</v>
          </cell>
          <cell r="B36">
            <v>2.3347857161727976</v>
          </cell>
        </row>
        <row r="37">
          <cell r="A37">
            <v>43344</v>
          </cell>
          <cell r="B37">
            <v>2.8349671671548902</v>
          </cell>
        </row>
        <row r="38">
          <cell r="A38">
            <v>43435</v>
          </cell>
          <cell r="B38">
            <v>2.8954213912886027</v>
          </cell>
        </row>
        <row r="39">
          <cell r="A39">
            <v>43525</v>
          </cell>
          <cell r="B39">
            <v>3.1838652386427393</v>
          </cell>
        </row>
        <row r="40">
          <cell r="A40">
            <v>43617</v>
          </cell>
          <cell r="B40">
            <v>3.3924864787004889</v>
          </cell>
        </row>
        <row r="41">
          <cell r="A41">
            <v>43709</v>
          </cell>
          <cell r="B41">
            <v>3.0946033830063264</v>
          </cell>
        </row>
        <row r="42">
          <cell r="A42">
            <v>43800</v>
          </cell>
          <cell r="B42">
            <v>3.078602875485406</v>
          </cell>
        </row>
        <row r="43">
          <cell r="A43">
            <v>43891</v>
          </cell>
          <cell r="B43">
            <v>0.31947815843471655</v>
          </cell>
        </row>
        <row r="44">
          <cell r="A44">
            <v>43983</v>
          </cell>
          <cell r="B44">
            <v>-16.740150572624632</v>
          </cell>
        </row>
        <row r="45">
          <cell r="A45">
            <v>44075</v>
          </cell>
          <cell r="B45">
            <v>-9.0189546192286905</v>
          </cell>
        </row>
        <row r="46">
          <cell r="A46">
            <v>44166</v>
          </cell>
          <cell r="B46">
            <v>-3.2567754541874967</v>
          </cell>
        </row>
        <row r="47">
          <cell r="A47">
            <v>44256</v>
          </cell>
          <cell r="B47">
            <v>1.7776415497452007</v>
          </cell>
        </row>
        <row r="48">
          <cell r="A48">
            <v>44348</v>
          </cell>
          <cell r="B48">
            <v>18.269267322537821</v>
          </cell>
        </row>
        <row r="49">
          <cell r="A49">
            <v>44440</v>
          </cell>
          <cell r="B49">
            <v>13.522200522313035</v>
          </cell>
        </row>
        <row r="50">
          <cell r="A50">
            <v>44531</v>
          </cell>
          <cell r="B50">
            <v>11.061702362366745</v>
          </cell>
        </row>
        <row r="51">
          <cell r="A51">
            <v>44621</v>
          </cell>
          <cell r="B51">
            <v>7.6790433645437552</v>
          </cell>
        </row>
        <row r="52">
          <cell r="A52">
            <v>44713</v>
          </cell>
          <cell r="B52">
            <v>12.549059818293948</v>
          </cell>
        </row>
        <row r="53">
          <cell r="A53">
            <v>44805</v>
          </cell>
          <cell r="B53">
            <v>7.3699155471282625</v>
          </cell>
        </row>
        <row r="54">
          <cell r="A54">
            <v>44896</v>
          </cell>
          <cell r="B54">
            <v>2.2228250788833224</v>
          </cell>
        </row>
        <row r="55">
          <cell r="A55">
            <v>44986</v>
          </cell>
          <cell r="B55">
            <v>2.674944025625539</v>
          </cell>
        </row>
        <row r="56">
          <cell r="A56">
            <v>45078</v>
          </cell>
          <cell r="B56">
            <v>0.43905595868866759</v>
          </cell>
        </row>
        <row r="57">
          <cell r="A57">
            <v>45170</v>
          </cell>
          <cell r="B57">
            <v>-0.38501206832535828</v>
          </cell>
        </row>
        <row r="58">
          <cell r="A58">
            <v>45261</v>
          </cell>
          <cell r="B58">
            <v>0.67878523466029617</v>
          </cell>
        </row>
        <row r="59">
          <cell r="A59">
            <v>45352</v>
          </cell>
          <cell r="B59">
            <v>0.55915009126959747</v>
          </cell>
        </row>
        <row r="60">
          <cell r="A60">
            <v>45444</v>
          </cell>
          <cell r="B60">
            <v>1.2059714801297097</v>
          </cell>
        </row>
        <row r="61">
          <cell r="A61">
            <v>45536</v>
          </cell>
          <cell r="B61">
            <v>1.6354453943640115</v>
          </cell>
        </row>
        <row r="62">
          <cell r="A62">
            <v>45627</v>
          </cell>
          <cell r="B62">
            <v>2.5733746647533331</v>
          </cell>
        </row>
        <row r="63">
          <cell r="A63">
            <v>45717</v>
          </cell>
          <cell r="B63">
            <v>2.1968992188072485</v>
          </cell>
        </row>
        <row r="64">
          <cell r="A64">
            <v>45809</v>
          </cell>
          <cell r="B64">
            <v>2.28250327285433</v>
          </cell>
        </row>
        <row r="65">
          <cell r="A65">
            <v>45901</v>
          </cell>
          <cell r="B65">
            <v>3.7804902823799349</v>
          </cell>
        </row>
        <row r="66">
          <cell r="A66">
            <v>45992</v>
          </cell>
          <cell r="B66">
            <v>2.0251775663378231</v>
          </cell>
        </row>
        <row r="67">
          <cell r="A67">
            <v>46082</v>
          </cell>
          <cell r="B67">
            <v>2.3930134147764233</v>
          </cell>
        </row>
        <row r="68">
          <cell r="A68">
            <v>46174</v>
          </cell>
          <cell r="B68">
            <v>3.366898924540525</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s"/>
      <sheetName val="Trim"/>
      <sheetName val="Informacion"/>
      <sheetName val="ENCUESTA"/>
      <sheetName val="ANEXO"/>
    </sheetNames>
    <sheetDataSet>
      <sheetData sheetId="0">
        <row r="2">
          <cell r="B2">
            <v>2</v>
          </cell>
          <cell r="D2">
            <v>2044.23</v>
          </cell>
          <cell r="E2">
            <v>-8.885758984484692</v>
          </cell>
          <cell r="F2">
            <v>11.312200000000001</v>
          </cell>
        </row>
        <row r="3">
          <cell r="B3">
            <v>2.1</v>
          </cell>
          <cell r="D3">
            <v>1982.29</v>
          </cell>
          <cell r="E3">
            <v>-18.099999999999998</v>
          </cell>
          <cell r="F3">
            <v>14.8787</v>
          </cell>
        </row>
        <row r="4">
          <cell r="B4">
            <v>2.09</v>
          </cell>
          <cell r="D4">
            <v>1932.32</v>
          </cell>
          <cell r="E4">
            <v>-24.4</v>
          </cell>
          <cell r="F4">
            <v>12.694699999999999</v>
          </cell>
        </row>
        <row r="5">
          <cell r="B5">
            <v>1.84</v>
          </cell>
          <cell r="D5">
            <v>1928.59</v>
          </cell>
          <cell r="E5">
            <v>-24.7</v>
          </cell>
          <cell r="F5">
            <v>11.959</v>
          </cell>
        </row>
        <row r="6">
          <cell r="B6">
            <v>1.98</v>
          </cell>
          <cell r="D6">
            <v>1969.75</v>
          </cell>
          <cell r="E6">
            <v>-13.970000000000002</v>
          </cell>
          <cell r="F6">
            <v>12.4399</v>
          </cell>
        </row>
        <row r="7">
          <cell r="B7">
            <v>2.0699999999999998</v>
          </cell>
          <cell r="D7">
            <v>1971.55</v>
          </cell>
          <cell r="E7">
            <v>-7.9</v>
          </cell>
          <cell r="F7">
            <v>12.263400000000001</v>
          </cell>
        </row>
        <row r="8">
          <cell r="B8">
            <v>2.25</v>
          </cell>
          <cell r="D8">
            <v>1916.46</v>
          </cell>
          <cell r="E8">
            <v>-11.22</v>
          </cell>
          <cell r="F8">
            <v>11.9801</v>
          </cell>
        </row>
        <row r="9">
          <cell r="B9">
            <v>2.2400000000000002</v>
          </cell>
          <cell r="D9">
            <v>1842.79</v>
          </cell>
          <cell r="E9">
            <v>-9.82</v>
          </cell>
          <cell r="F9">
            <v>12.8583</v>
          </cell>
        </row>
        <row r="10">
          <cell r="B10">
            <v>2.31</v>
          </cell>
          <cell r="D10">
            <v>1823.74</v>
          </cell>
          <cell r="E10">
            <v>-10.38</v>
          </cell>
          <cell r="F10">
            <v>11.3779</v>
          </cell>
        </row>
        <row r="11">
          <cell r="B11">
            <v>2.2799999999999998</v>
          </cell>
          <cell r="D11">
            <v>1799.89</v>
          </cell>
          <cell r="E11">
            <v>-6.35</v>
          </cell>
          <cell r="F11">
            <v>10.8675</v>
          </cell>
        </row>
        <row r="12">
          <cell r="B12">
            <v>2.33</v>
          </cell>
          <cell r="D12">
            <v>1831.64</v>
          </cell>
          <cell r="E12">
            <v>-8.1332129601765395</v>
          </cell>
          <cell r="F12">
            <v>10.452500000000001</v>
          </cell>
        </row>
        <row r="13">
          <cell r="B13">
            <v>2.59</v>
          </cell>
          <cell r="D13">
            <v>1916.96</v>
          </cell>
          <cell r="E13">
            <v>-4.0305987073648186</v>
          </cell>
          <cell r="F13">
            <v>10.934100000000001</v>
          </cell>
        </row>
        <row r="14">
          <cell r="B14">
            <v>3.17</v>
          </cell>
          <cell r="D14">
            <v>1913.98</v>
          </cell>
          <cell r="E14">
            <v>-6.3715922376640588</v>
          </cell>
          <cell r="F14">
            <v>11.2264</v>
          </cell>
        </row>
        <row r="15">
          <cell r="B15">
            <v>3.4</v>
          </cell>
          <cell r="D15">
            <v>1857.98</v>
          </cell>
          <cell r="E15">
            <v>-6.27</v>
          </cell>
          <cell r="F15">
            <v>13.8965</v>
          </cell>
        </row>
        <row r="16">
          <cell r="B16">
            <v>3.17</v>
          </cell>
          <cell r="D16">
            <v>1895.56</v>
          </cell>
          <cell r="E16">
            <v>-1.9</v>
          </cell>
          <cell r="F16">
            <v>13.1393</v>
          </cell>
        </row>
        <row r="17">
          <cell r="B17">
            <v>3.19</v>
          </cell>
          <cell r="D17">
            <v>1879.47</v>
          </cell>
          <cell r="E17">
            <v>-2.5499999999999998</v>
          </cell>
          <cell r="F17">
            <v>10.9483</v>
          </cell>
        </row>
        <row r="18">
          <cell r="B18">
            <v>2.84</v>
          </cell>
          <cell r="D18">
            <v>1768.19</v>
          </cell>
          <cell r="E18">
            <v>-10.23</v>
          </cell>
          <cell r="F18">
            <v>11.2743</v>
          </cell>
        </row>
        <row r="19">
          <cell r="B19">
            <v>3.02</v>
          </cell>
          <cell r="D19">
            <v>1817.34</v>
          </cell>
          <cell r="E19">
            <v>-7.82</v>
          </cell>
          <cell r="F19">
            <v>11.553599999999999</v>
          </cell>
        </row>
        <row r="20">
          <cell r="B20">
            <v>3.23</v>
          </cell>
          <cell r="D20">
            <v>1780.16</v>
          </cell>
          <cell r="E20">
            <v>-7.1099999999999994</v>
          </cell>
          <cell r="F20">
            <v>11.036</v>
          </cell>
        </row>
        <row r="21">
          <cell r="B21">
            <v>3.42</v>
          </cell>
          <cell r="D21">
            <v>1777.82</v>
          </cell>
          <cell r="E21">
            <v>-3.53</v>
          </cell>
          <cell r="F21">
            <v>11.704000000000001</v>
          </cell>
        </row>
        <row r="22">
          <cell r="B22">
            <v>3.27</v>
          </cell>
          <cell r="D22">
            <v>1783.66</v>
          </cell>
          <cell r="E22">
            <v>-2.2000000000000002</v>
          </cell>
          <cell r="F22">
            <v>10.415699999999999</v>
          </cell>
        </row>
        <row r="23">
          <cell r="B23">
            <v>3.73</v>
          </cell>
          <cell r="D23">
            <v>1915.1</v>
          </cell>
          <cell r="E23">
            <v>6.4</v>
          </cell>
          <cell r="F23">
            <v>9.9278999999999993</v>
          </cell>
        </row>
        <row r="24">
          <cell r="B24">
            <v>4.0199999999999996</v>
          </cell>
          <cell r="D24">
            <v>1863.06</v>
          </cell>
          <cell r="E24">
            <v>1.72</v>
          </cell>
          <cell r="F24">
            <v>9.3596000000000004</v>
          </cell>
        </row>
        <row r="25">
          <cell r="B25">
            <v>3.96</v>
          </cell>
          <cell r="D25">
            <v>1967.18</v>
          </cell>
          <cell r="E25">
            <v>2.62</v>
          </cell>
          <cell r="F25">
            <v>9.4934999999999992</v>
          </cell>
        </row>
        <row r="26">
          <cell r="B26">
            <v>3.73</v>
          </cell>
          <cell r="D26">
            <v>1942.7</v>
          </cell>
          <cell r="E26">
            <v>1.500538145644148</v>
          </cell>
          <cell r="F26">
            <v>10.0677</v>
          </cell>
        </row>
        <row r="27">
          <cell r="B27">
            <v>3.54</v>
          </cell>
          <cell r="D27">
            <v>1815.08</v>
          </cell>
          <cell r="E27">
            <v>-2.31</v>
          </cell>
          <cell r="F27">
            <v>12.7911</v>
          </cell>
        </row>
        <row r="28">
          <cell r="B28">
            <v>3.55</v>
          </cell>
          <cell r="D28">
            <v>1767.83</v>
          </cell>
          <cell r="E28">
            <v>-6.74</v>
          </cell>
          <cell r="F28">
            <v>12.074999999999999</v>
          </cell>
        </row>
        <row r="29">
          <cell r="B29">
            <v>3.4</v>
          </cell>
          <cell r="D29">
            <v>1792.07</v>
          </cell>
          <cell r="E29">
            <v>-4.6500000000000004</v>
          </cell>
          <cell r="F29">
            <v>10.5024</v>
          </cell>
        </row>
        <row r="30">
          <cell r="B30">
            <v>3.43</v>
          </cell>
          <cell r="D30">
            <v>1761.2</v>
          </cell>
          <cell r="E30">
            <v>-0.4</v>
          </cell>
          <cell r="F30">
            <v>11.087</v>
          </cell>
        </row>
        <row r="31">
          <cell r="B31">
            <v>3.44</v>
          </cell>
          <cell r="D31">
            <v>1827.83</v>
          </cell>
          <cell r="E31">
            <v>0.57999999999999996</v>
          </cell>
          <cell r="F31">
            <v>10.994999999999999</v>
          </cell>
        </row>
        <row r="32">
          <cell r="B32">
            <v>3.2</v>
          </cell>
          <cell r="D32">
            <v>1784.6</v>
          </cell>
          <cell r="E32">
            <v>0.25</v>
          </cell>
          <cell r="F32">
            <v>10.2437</v>
          </cell>
        </row>
        <row r="33">
          <cell r="B33">
            <v>3.03</v>
          </cell>
          <cell r="D33">
            <v>1789.02</v>
          </cell>
          <cell r="E33">
            <v>0.63</v>
          </cell>
          <cell r="F33">
            <v>11.155799999999999</v>
          </cell>
        </row>
        <row r="34">
          <cell r="B34">
            <v>3.11</v>
          </cell>
          <cell r="C34">
            <v>4.7699999999999996</v>
          </cell>
          <cell r="D34">
            <v>1830.5</v>
          </cell>
          <cell r="E34">
            <v>2.63</v>
          </cell>
          <cell r="F34">
            <v>9.9893000000000001</v>
          </cell>
        </row>
        <row r="35">
          <cell r="B35">
            <v>3.08</v>
          </cell>
          <cell r="C35">
            <v>4.5679999999999996</v>
          </cell>
          <cell r="D35">
            <v>1800.52</v>
          </cell>
          <cell r="E35">
            <v>-5.98</v>
          </cell>
          <cell r="F35">
            <v>10.144399999999999</v>
          </cell>
        </row>
        <row r="36">
          <cell r="B36">
            <v>3.06</v>
          </cell>
          <cell r="C36">
            <v>4.7110000000000003</v>
          </cell>
          <cell r="D36">
            <v>1829.89</v>
          </cell>
          <cell r="E36">
            <v>-1.78</v>
          </cell>
          <cell r="F36">
            <v>9.1692</v>
          </cell>
        </row>
        <row r="37">
          <cell r="B37">
            <v>2.77</v>
          </cell>
          <cell r="C37">
            <v>4.5030000000000001</v>
          </cell>
          <cell r="D37">
            <v>1817.93</v>
          </cell>
          <cell r="E37">
            <v>-7.59</v>
          </cell>
          <cell r="F37">
            <v>9.4619</v>
          </cell>
        </row>
        <row r="38">
          <cell r="B38">
            <v>2.44</v>
          </cell>
          <cell r="C38">
            <v>4.218</v>
          </cell>
          <cell r="D38">
            <v>1768.23</v>
          </cell>
          <cell r="E38">
            <v>-8.98</v>
          </cell>
          <cell r="F38">
            <v>9.9404000000000003</v>
          </cell>
        </row>
        <row r="39">
          <cell r="B39">
            <v>2</v>
          </cell>
          <cell r="C39">
            <v>3.8919999999999999</v>
          </cell>
          <cell r="D39">
            <v>1773.24</v>
          </cell>
          <cell r="E39">
            <v>-2.31</v>
          </cell>
          <cell r="F39">
            <v>12.3415</v>
          </cell>
        </row>
        <row r="40">
          <cell r="B40">
            <v>1.83</v>
          </cell>
          <cell r="C40">
            <v>3.6190000000000002</v>
          </cell>
          <cell r="D40">
            <v>1816.42</v>
          </cell>
          <cell r="E40">
            <v>2.75</v>
          </cell>
          <cell r="F40">
            <v>12.0105</v>
          </cell>
        </row>
        <row r="41">
          <cell r="B41">
            <v>1.91</v>
          </cell>
          <cell r="C41">
            <v>3.2010000000000001</v>
          </cell>
          <cell r="D41">
            <v>1832.2</v>
          </cell>
          <cell r="E41">
            <v>2.2400000000000002</v>
          </cell>
          <cell r="F41">
            <v>10.383800000000001</v>
          </cell>
        </row>
        <row r="42">
          <cell r="B42">
            <v>2.02</v>
          </cell>
          <cell r="C42">
            <v>3.17</v>
          </cell>
          <cell r="D42">
            <v>1828.79</v>
          </cell>
          <cell r="E42">
            <v>3.84</v>
          </cell>
          <cell r="F42">
            <v>10.4518</v>
          </cell>
        </row>
        <row r="43">
          <cell r="B43">
            <v>2</v>
          </cell>
          <cell r="C43">
            <v>3.2330000000000001</v>
          </cell>
          <cell r="D43">
            <v>1891.48</v>
          </cell>
          <cell r="E43">
            <v>3.4799999999999995</v>
          </cell>
          <cell r="F43">
            <v>9.8203999999999994</v>
          </cell>
        </row>
        <row r="44">
          <cell r="B44">
            <v>2.16</v>
          </cell>
          <cell r="C44">
            <v>3.2370000000000001</v>
          </cell>
          <cell r="D44">
            <v>1929</v>
          </cell>
          <cell r="E44">
            <v>8.09</v>
          </cell>
          <cell r="F44">
            <v>9.5105000000000004</v>
          </cell>
        </row>
        <row r="45">
          <cell r="B45">
            <v>2.2200000000000002</v>
          </cell>
          <cell r="C45">
            <v>3.266</v>
          </cell>
          <cell r="D45">
            <v>1890.33</v>
          </cell>
          <cell r="E45">
            <v>5.66</v>
          </cell>
          <cell r="F45">
            <v>10.162599999999999</v>
          </cell>
        </row>
        <row r="46">
          <cell r="B46">
            <v>2.27</v>
          </cell>
          <cell r="C46">
            <v>3.2610000000000001</v>
          </cell>
          <cell r="D46">
            <v>1935.43</v>
          </cell>
          <cell r="E46">
            <v>5.7299999999999995</v>
          </cell>
          <cell r="F46">
            <v>9.6613000000000007</v>
          </cell>
        </row>
        <row r="47">
          <cell r="B47">
            <v>2.27</v>
          </cell>
          <cell r="C47">
            <v>3.27</v>
          </cell>
          <cell r="D47">
            <v>1914.65</v>
          </cell>
          <cell r="E47">
            <v>6.34</v>
          </cell>
          <cell r="F47">
            <v>9.1692</v>
          </cell>
        </row>
        <row r="48">
          <cell r="B48">
            <v>1.84</v>
          </cell>
          <cell r="C48">
            <v>3.274</v>
          </cell>
          <cell r="D48">
            <v>1884.06</v>
          </cell>
          <cell r="E48">
            <v>2.96</v>
          </cell>
          <cell r="F48">
            <v>8.1300000000000008</v>
          </cell>
        </row>
        <row r="49">
          <cell r="B49">
            <v>1.76</v>
          </cell>
          <cell r="C49">
            <v>3.222</v>
          </cell>
          <cell r="D49">
            <v>1931.88</v>
          </cell>
          <cell r="E49">
            <v>6.2700000000000005</v>
          </cell>
          <cell r="F49">
            <v>8.6267999999999994</v>
          </cell>
        </row>
        <row r="50">
          <cell r="B50">
            <v>1.94</v>
          </cell>
          <cell r="C50">
            <v>3.2490000000000001</v>
          </cell>
          <cell r="D50">
            <v>1926.83</v>
          </cell>
          <cell r="E50">
            <v>8.9700000000000006</v>
          </cell>
          <cell r="F50">
            <v>8.6472999999999995</v>
          </cell>
        </row>
        <row r="51">
          <cell r="B51">
            <v>2.13</v>
          </cell>
          <cell r="C51">
            <v>3.2730000000000001</v>
          </cell>
          <cell r="D51">
            <v>2008.26</v>
          </cell>
          <cell r="E51">
            <v>13.25</v>
          </cell>
          <cell r="F51">
            <v>11.532400000000001</v>
          </cell>
        </row>
        <row r="52">
          <cell r="B52">
            <v>2.3199999999999998</v>
          </cell>
          <cell r="C52">
            <v>3.278</v>
          </cell>
          <cell r="D52">
            <v>2054.9</v>
          </cell>
          <cell r="E52">
            <v>13.13</v>
          </cell>
          <cell r="F52">
            <v>11.0878</v>
          </cell>
        </row>
        <row r="53">
          <cell r="B53">
            <v>2.5099999999999998</v>
          </cell>
          <cell r="C53">
            <v>3.254</v>
          </cell>
          <cell r="D53">
            <v>1965.32</v>
          </cell>
          <cell r="E53">
            <v>7.2700000000000005</v>
          </cell>
          <cell r="F53">
            <v>9.8445</v>
          </cell>
        </row>
        <row r="54">
          <cell r="B54">
            <v>2.72</v>
          </cell>
          <cell r="C54">
            <v>3.722</v>
          </cell>
          <cell r="D54">
            <v>1935.14</v>
          </cell>
          <cell r="E54">
            <v>5.82</v>
          </cell>
          <cell r="F54">
            <v>9.3084000000000007</v>
          </cell>
        </row>
        <row r="55">
          <cell r="B55">
            <v>2.93</v>
          </cell>
          <cell r="C55">
            <v>3.8719999999999999</v>
          </cell>
          <cell r="D55">
            <v>1900.64</v>
          </cell>
          <cell r="E55">
            <v>0.48</v>
          </cell>
          <cell r="F55">
            <v>9.0673999999999992</v>
          </cell>
        </row>
        <row r="56">
          <cell r="B56">
            <v>2.79</v>
          </cell>
          <cell r="C56">
            <v>4.2530000000000001</v>
          </cell>
          <cell r="D56">
            <v>1881.19</v>
          </cell>
          <cell r="E56">
            <v>-2.48</v>
          </cell>
          <cell r="F56">
            <v>9.4018999999999995</v>
          </cell>
        </row>
        <row r="57">
          <cell r="B57">
            <v>2.89</v>
          </cell>
          <cell r="C57">
            <v>4.351</v>
          </cell>
          <cell r="D57">
            <v>1872.43</v>
          </cell>
          <cell r="E57">
            <v>-0.95</v>
          </cell>
          <cell r="F57">
            <v>9.6865000000000006</v>
          </cell>
        </row>
        <row r="58">
          <cell r="B58">
            <v>3.02</v>
          </cell>
          <cell r="C58">
            <v>4.484</v>
          </cell>
          <cell r="D58">
            <v>1918.62</v>
          </cell>
          <cell r="E58">
            <v>-0.86999999999999988</v>
          </cell>
          <cell r="F58">
            <v>9.16</v>
          </cell>
        </row>
        <row r="59">
          <cell r="B59">
            <v>2.86</v>
          </cell>
          <cell r="C59">
            <v>4.5129999999999999</v>
          </cell>
          <cell r="D59">
            <v>2028.48</v>
          </cell>
          <cell r="E59">
            <v>5.95</v>
          </cell>
          <cell r="F59">
            <v>8.6057000000000006</v>
          </cell>
        </row>
        <row r="60">
          <cell r="B60">
            <v>3.29</v>
          </cell>
          <cell r="C60">
            <v>4.5049999999999999</v>
          </cell>
          <cell r="D60">
            <v>2050.52</v>
          </cell>
          <cell r="E60">
            <v>8.8351751005806722</v>
          </cell>
          <cell r="F60">
            <v>8.0952999999999999</v>
          </cell>
        </row>
        <row r="61">
          <cell r="B61">
            <v>3.65</v>
          </cell>
          <cell r="C61">
            <v>4.4909999999999997</v>
          </cell>
          <cell r="D61">
            <v>2206.19</v>
          </cell>
          <cell r="E61">
            <v>14.199122098681084</v>
          </cell>
          <cell r="F61">
            <v>8.0622000000000007</v>
          </cell>
        </row>
        <row r="62">
          <cell r="B62">
            <v>3.66</v>
          </cell>
          <cell r="C62">
            <v>4.4950000000000001</v>
          </cell>
          <cell r="D62">
            <v>2392.46</v>
          </cell>
          <cell r="E62">
            <v>24.1655984181272</v>
          </cell>
          <cell r="F62">
            <v>9.0374999999999996</v>
          </cell>
        </row>
        <row r="63">
          <cell r="B63">
            <v>3.82</v>
          </cell>
          <cell r="C63">
            <v>4.4640000000000004</v>
          </cell>
          <cell r="D63">
            <v>2441.1</v>
          </cell>
          <cell r="E63">
            <v>21.55</v>
          </cell>
          <cell r="F63">
            <v>11.1517</v>
          </cell>
        </row>
        <row r="64">
          <cell r="B64">
            <v>4.3600000000000003</v>
          </cell>
          <cell r="C64">
            <v>4.47</v>
          </cell>
          <cell r="D64">
            <v>2496.9899999999998</v>
          </cell>
          <cell r="E64">
            <v>21.51</v>
          </cell>
          <cell r="F64">
            <v>10.227600000000001</v>
          </cell>
        </row>
        <row r="65">
          <cell r="B65">
            <v>4.5599999999999996</v>
          </cell>
          <cell r="C65">
            <v>4.5270000000000001</v>
          </cell>
          <cell r="D65">
            <v>2576.0500000000002</v>
          </cell>
          <cell r="E65">
            <v>31.08</v>
          </cell>
          <cell r="F65">
            <v>9.1227999999999998</v>
          </cell>
        </row>
        <row r="66">
          <cell r="B66">
            <v>4.6399999999999997</v>
          </cell>
          <cell r="C66">
            <v>4.5220000000000002</v>
          </cell>
          <cell r="D66">
            <v>2388.06</v>
          </cell>
          <cell r="E66">
            <v>23.41</v>
          </cell>
          <cell r="F66">
            <v>9.7372999999999994</v>
          </cell>
        </row>
        <row r="67">
          <cell r="B67">
            <v>4.41</v>
          </cell>
          <cell r="C67">
            <v>4.5069999999999997</v>
          </cell>
          <cell r="D67">
            <v>2533.79</v>
          </cell>
          <cell r="E67">
            <v>33.31</v>
          </cell>
          <cell r="F67">
            <v>9.2216000000000005</v>
          </cell>
        </row>
        <row r="68">
          <cell r="B68">
            <v>4.42</v>
          </cell>
          <cell r="C68">
            <v>4.5129999999999999</v>
          </cell>
          <cell r="D68">
            <v>2585.11</v>
          </cell>
          <cell r="E68">
            <v>37.419999999999995</v>
          </cell>
          <cell r="F68">
            <v>8.4986999999999995</v>
          </cell>
        </row>
        <row r="69">
          <cell r="B69">
            <v>4.46</v>
          </cell>
          <cell r="C69">
            <v>4.5369999999999999</v>
          </cell>
          <cell r="D69">
            <v>2866.04</v>
          </cell>
          <cell r="E69">
            <v>53.069999999999993</v>
          </cell>
          <cell r="F69">
            <v>9.2236999999999991</v>
          </cell>
        </row>
        <row r="70">
          <cell r="B70">
            <v>4.74</v>
          </cell>
          <cell r="C70">
            <v>4.7149999999999999</v>
          </cell>
          <cell r="D70">
            <v>3101.1</v>
          </cell>
          <cell r="E70">
            <v>61.63000000000001</v>
          </cell>
          <cell r="F70">
            <v>9.3035999999999994</v>
          </cell>
        </row>
        <row r="71">
          <cell r="B71">
            <v>5.35</v>
          </cell>
          <cell r="C71">
            <v>4.9770000000000003</v>
          </cell>
          <cell r="D71">
            <v>3121.94</v>
          </cell>
          <cell r="E71">
            <v>53.909999999999989</v>
          </cell>
          <cell r="F71">
            <v>9.0681999999999992</v>
          </cell>
        </row>
        <row r="72">
          <cell r="B72">
            <v>5.89</v>
          </cell>
          <cell r="C72">
            <v>5.3869999999999996</v>
          </cell>
          <cell r="D72">
            <v>2897.83</v>
          </cell>
          <cell r="E72">
            <v>41.32</v>
          </cell>
          <cell r="F72">
            <v>8.4384999999999994</v>
          </cell>
        </row>
        <row r="73">
          <cell r="B73">
            <v>6.39</v>
          </cell>
          <cell r="C73">
            <v>5.8419999999999996</v>
          </cell>
          <cell r="D73">
            <v>3101.1</v>
          </cell>
          <cell r="E73">
            <v>40.56</v>
          </cell>
          <cell r="F73">
            <v>7.5631000000000004</v>
          </cell>
        </row>
        <row r="74">
          <cell r="B74">
            <v>6.77</v>
          </cell>
          <cell r="C74">
            <v>6.0679999999999996</v>
          </cell>
          <cell r="D74">
            <v>3149.47</v>
          </cell>
          <cell r="E74">
            <v>31.64</v>
          </cell>
          <cell r="F74">
            <v>8.8226999999999993</v>
          </cell>
        </row>
        <row r="75">
          <cell r="B75">
            <v>7.45</v>
          </cell>
          <cell r="C75">
            <v>6.3170000000000002</v>
          </cell>
          <cell r="D75">
            <v>3287.31</v>
          </cell>
          <cell r="E75">
            <v>34.67</v>
          </cell>
          <cell r="F75">
            <v>12.1784</v>
          </cell>
        </row>
        <row r="76">
          <cell r="B76">
            <v>7.59</v>
          </cell>
          <cell r="C76">
            <v>6.5789999999999997</v>
          </cell>
          <cell r="D76">
            <v>3306</v>
          </cell>
          <cell r="E76">
            <v>32.4</v>
          </cell>
          <cell r="F76">
            <v>10.367800000000001</v>
          </cell>
        </row>
        <row r="77">
          <cell r="B77">
            <v>7.98</v>
          </cell>
          <cell r="C77">
            <v>6.7229999999999999</v>
          </cell>
          <cell r="D77">
            <v>3022.35</v>
          </cell>
          <cell r="E77">
            <v>17.32</v>
          </cell>
          <cell r="F77">
            <v>10.464600000000001</v>
          </cell>
        </row>
        <row r="78">
          <cell r="B78">
            <v>7.93</v>
          </cell>
          <cell r="C78">
            <v>6.9829999999999997</v>
          </cell>
          <cell r="D78">
            <v>2851.14</v>
          </cell>
          <cell r="E78">
            <v>19.39</v>
          </cell>
          <cell r="F78">
            <v>9.3194999999999997</v>
          </cell>
        </row>
        <row r="79">
          <cell r="B79">
            <v>8.1999999999999993</v>
          </cell>
          <cell r="C79">
            <v>7.3789999999999996</v>
          </cell>
          <cell r="D79">
            <v>3069.17</v>
          </cell>
          <cell r="E79">
            <v>21.13</v>
          </cell>
          <cell r="F79">
            <v>9.2373999999999992</v>
          </cell>
        </row>
        <row r="80">
          <cell r="B80">
            <v>8.6</v>
          </cell>
          <cell r="C80">
            <v>7.5389999999999997</v>
          </cell>
          <cell r="D80">
            <v>2916.15</v>
          </cell>
          <cell r="E80">
            <v>12.809999999999999</v>
          </cell>
          <cell r="F80">
            <v>9.19</v>
          </cell>
        </row>
        <row r="81">
          <cell r="B81">
            <v>8.9700000000000006</v>
          </cell>
          <cell r="C81">
            <v>7.6909999999999998</v>
          </cell>
          <cell r="D81">
            <v>3081.75</v>
          </cell>
          <cell r="E81">
            <v>7.53</v>
          </cell>
          <cell r="F81">
            <v>10.2006</v>
          </cell>
        </row>
        <row r="82">
          <cell r="B82">
            <v>8.1</v>
          </cell>
          <cell r="C82">
            <v>7.8239999999999998</v>
          </cell>
          <cell r="D82">
            <v>2933.82</v>
          </cell>
          <cell r="E82">
            <v>-5.39</v>
          </cell>
          <cell r="F82">
            <v>9.2325999999999997</v>
          </cell>
        </row>
        <row r="83">
          <cell r="B83">
            <v>7.27</v>
          </cell>
          <cell r="C83">
            <v>7.7359999999999998</v>
          </cell>
          <cell r="D83">
            <v>2879.95</v>
          </cell>
          <cell r="E83">
            <v>-7.75</v>
          </cell>
          <cell r="F83">
            <v>8.8534000000000006</v>
          </cell>
        </row>
        <row r="84">
          <cell r="B84">
            <v>6.48</v>
          </cell>
          <cell r="C84">
            <v>7.7050000000000001</v>
          </cell>
          <cell r="D84">
            <v>2967.66</v>
          </cell>
          <cell r="E84">
            <v>2.4097341804039552</v>
          </cell>
          <cell r="F84">
            <v>8.6280000000000001</v>
          </cell>
        </row>
        <row r="85">
          <cell r="B85">
            <v>5.96</v>
          </cell>
          <cell r="C85">
            <v>7.6319999999999997</v>
          </cell>
          <cell r="D85">
            <v>3165.09</v>
          </cell>
          <cell r="E85">
            <v>2.0634613524233458</v>
          </cell>
          <cell r="F85">
            <v>7.7732000000000001</v>
          </cell>
        </row>
        <row r="86">
          <cell r="B86">
            <v>5.75</v>
          </cell>
          <cell r="C86">
            <v>7.2039999999999997</v>
          </cell>
          <cell r="D86">
            <v>3000.71</v>
          </cell>
          <cell r="E86">
            <v>-4.7233344022962527</v>
          </cell>
          <cell r="F86">
            <v>9.0970999999999993</v>
          </cell>
        </row>
        <row r="87">
          <cell r="B87">
            <v>5.47</v>
          </cell>
          <cell r="C87">
            <v>7.3319999999999999</v>
          </cell>
          <cell r="D87">
            <v>2936.66</v>
          </cell>
          <cell r="E87">
            <v>-10.67</v>
          </cell>
          <cell r="F87">
            <v>11.956899999999999</v>
          </cell>
        </row>
        <row r="88">
          <cell r="B88">
            <v>5.18</v>
          </cell>
          <cell r="C88">
            <v>7.03</v>
          </cell>
          <cell r="D88">
            <v>2896.27</v>
          </cell>
          <cell r="E88">
            <v>-12.39</v>
          </cell>
          <cell r="F88">
            <v>10.872999999999999</v>
          </cell>
        </row>
        <row r="89">
          <cell r="B89">
            <v>4.6900000000000004</v>
          </cell>
          <cell r="C89">
            <v>6.6379999999999999</v>
          </cell>
          <cell r="D89">
            <v>2880.24</v>
          </cell>
          <cell r="E89">
            <v>-4.7</v>
          </cell>
          <cell r="F89">
            <v>9.9046000000000003</v>
          </cell>
        </row>
        <row r="90">
          <cell r="B90">
            <v>4.66</v>
          </cell>
          <cell r="C90">
            <v>6.1970000000000001</v>
          </cell>
          <cell r="D90">
            <v>2947.85</v>
          </cell>
          <cell r="E90">
            <v>3.39</v>
          </cell>
          <cell r="F90">
            <v>9.1358999999999995</v>
          </cell>
        </row>
        <row r="91">
          <cell r="B91">
            <v>4.37</v>
          </cell>
          <cell r="C91">
            <v>5.87</v>
          </cell>
          <cell r="D91">
            <v>2920.42</v>
          </cell>
          <cell r="E91">
            <v>-4.8500000000000005</v>
          </cell>
          <cell r="F91">
            <v>9.8379999999999992</v>
          </cell>
        </row>
        <row r="92">
          <cell r="B92">
            <v>3.99</v>
          </cell>
          <cell r="C92">
            <v>5.5039999999999996</v>
          </cell>
          <cell r="D92">
            <v>3038.26</v>
          </cell>
          <cell r="E92">
            <v>4.1900000000000004</v>
          </cell>
          <cell r="F92">
            <v>8.9772999999999996</v>
          </cell>
        </row>
        <row r="93">
          <cell r="B93">
            <v>3.4</v>
          </cell>
          <cell r="C93">
            <v>5.3449999999999998</v>
          </cell>
          <cell r="D93">
            <v>2995.23</v>
          </cell>
          <cell r="E93">
            <v>-2.81</v>
          </cell>
          <cell r="F93">
            <v>9.9404000000000003</v>
          </cell>
        </row>
        <row r="94">
          <cell r="B94">
            <v>3.87</v>
          </cell>
          <cell r="C94">
            <v>5.1929999999999996</v>
          </cell>
          <cell r="D94">
            <v>2937.09</v>
          </cell>
          <cell r="E94">
            <v>0.11</v>
          </cell>
          <cell r="F94">
            <v>9.5167999999999999</v>
          </cell>
        </row>
        <row r="95">
          <cell r="B95">
            <v>3.97</v>
          </cell>
          <cell r="C95">
            <v>5.1459999999999999</v>
          </cell>
          <cell r="D95">
            <v>2936.67</v>
          </cell>
          <cell r="E95">
            <v>1.97</v>
          </cell>
          <cell r="F95">
            <v>9.5469000000000008</v>
          </cell>
        </row>
        <row r="96">
          <cell r="B96">
            <v>4.05</v>
          </cell>
          <cell r="C96">
            <v>4.9459999999999997</v>
          </cell>
          <cell r="D96">
            <v>3011.44</v>
          </cell>
          <cell r="E96">
            <v>1.4752363815262015</v>
          </cell>
          <cell r="F96">
            <v>8.7399000000000004</v>
          </cell>
        </row>
        <row r="97">
          <cell r="B97">
            <v>4.12</v>
          </cell>
          <cell r="C97">
            <v>4.5620000000000003</v>
          </cell>
          <cell r="D97">
            <v>3006.09</v>
          </cell>
          <cell r="E97">
            <v>-5.0235538325924427</v>
          </cell>
          <cell r="F97">
            <v>8.7647999999999993</v>
          </cell>
        </row>
        <row r="98">
          <cell r="B98">
            <v>4.09</v>
          </cell>
          <cell r="C98">
            <v>4.6550000000000002</v>
          </cell>
          <cell r="D98">
            <v>2984</v>
          </cell>
          <cell r="E98">
            <v>-0.55686820785747493</v>
          </cell>
          <cell r="F98">
            <v>8.9122000000000003</v>
          </cell>
        </row>
        <row r="99">
          <cell r="B99">
            <v>3.68</v>
          </cell>
          <cell r="C99">
            <v>4.4770000000000003</v>
          </cell>
          <cell r="D99">
            <v>2844.14</v>
          </cell>
          <cell r="E99">
            <v>-3.15</v>
          </cell>
          <cell r="F99">
            <v>12.1374</v>
          </cell>
        </row>
        <row r="100">
          <cell r="B100">
            <v>3.37</v>
          </cell>
          <cell r="C100">
            <v>4.4130000000000003</v>
          </cell>
          <cell r="D100">
            <v>2855.93</v>
          </cell>
          <cell r="E100">
            <v>-1.39</v>
          </cell>
          <cell r="F100">
            <v>11.1882</v>
          </cell>
        </row>
        <row r="101">
          <cell r="B101">
            <v>3.14</v>
          </cell>
          <cell r="C101">
            <v>4.3319999999999999</v>
          </cell>
          <cell r="D101">
            <v>2780.47</v>
          </cell>
          <cell r="E101">
            <v>-3.46</v>
          </cell>
          <cell r="F101">
            <v>9.7715999999999994</v>
          </cell>
        </row>
        <row r="102">
          <cell r="B102">
            <v>3.13</v>
          </cell>
          <cell r="C102">
            <v>4.1980000000000004</v>
          </cell>
          <cell r="D102">
            <v>2806.28</v>
          </cell>
          <cell r="E102">
            <v>-4.8024831656970202</v>
          </cell>
          <cell r="F102">
            <v>9.7292000000000005</v>
          </cell>
        </row>
        <row r="103">
          <cell r="B103">
            <v>3.16</v>
          </cell>
          <cell r="C103">
            <v>4.202</v>
          </cell>
          <cell r="D103">
            <v>2879.32</v>
          </cell>
          <cell r="E103">
            <v>-1.4073318221351701</v>
          </cell>
          <cell r="F103">
            <v>9.9794999999999998</v>
          </cell>
        </row>
        <row r="104">
          <cell r="B104">
            <v>3.2</v>
          </cell>
          <cell r="C104">
            <v>4.2519999999999998</v>
          </cell>
          <cell r="D104">
            <v>2930.8</v>
          </cell>
          <cell r="E104">
            <v>-3.5368928268153499</v>
          </cell>
          <cell r="F104">
            <v>9.3085000000000004</v>
          </cell>
        </row>
        <row r="105">
          <cell r="B105">
            <v>3.12</v>
          </cell>
          <cell r="C105">
            <v>4.2460000000000004</v>
          </cell>
          <cell r="D105">
            <v>2875.72</v>
          </cell>
          <cell r="E105">
            <v>-3.9899999999999998</v>
          </cell>
          <cell r="F105">
            <v>10.042299999999999</v>
          </cell>
        </row>
        <row r="106">
          <cell r="B106">
            <v>3.1</v>
          </cell>
          <cell r="C106">
            <v>4.25</v>
          </cell>
          <cell r="D106">
            <v>3027.39</v>
          </cell>
          <cell r="E106">
            <v>3.0700000000000003</v>
          </cell>
          <cell r="F106">
            <v>9.4291999999999998</v>
          </cell>
        </row>
        <row r="107">
          <cell r="B107">
            <v>3.23</v>
          </cell>
          <cell r="C107">
            <v>4.2560000000000002</v>
          </cell>
          <cell r="D107">
            <v>2972.18</v>
          </cell>
          <cell r="E107">
            <v>1.21</v>
          </cell>
          <cell r="F107">
            <v>9.6707000000000001</v>
          </cell>
        </row>
        <row r="108">
          <cell r="B108">
            <v>3.33</v>
          </cell>
          <cell r="C108">
            <v>4.2830000000000004</v>
          </cell>
          <cell r="D108">
            <v>3202.44</v>
          </cell>
          <cell r="E108">
            <v>6.3424806736976258</v>
          </cell>
          <cell r="F108">
            <v>9.3614999999999995</v>
          </cell>
        </row>
        <row r="109">
          <cell r="B109">
            <v>3.27</v>
          </cell>
          <cell r="C109">
            <v>4.2779999999999996</v>
          </cell>
          <cell r="D109">
            <v>3240.02</v>
          </cell>
          <cell r="E109">
            <v>7.7818694716392356</v>
          </cell>
          <cell r="F109">
            <v>8.9905000000000008</v>
          </cell>
        </row>
        <row r="110">
          <cell r="B110">
            <v>3.18</v>
          </cell>
          <cell r="C110">
            <v>4.2670000000000003</v>
          </cell>
          <cell r="D110">
            <v>3249.75</v>
          </cell>
          <cell r="E110">
            <v>8.9058310991957157</v>
          </cell>
          <cell r="F110">
            <v>9.9891000000000005</v>
          </cell>
        </row>
        <row r="111">
          <cell r="B111">
            <v>3.15</v>
          </cell>
          <cell r="C111">
            <v>4.2560000000000002</v>
          </cell>
          <cell r="D111">
            <v>3163.46</v>
          </cell>
          <cell r="E111">
            <v>11.23</v>
          </cell>
          <cell r="F111">
            <v>13.075200000000001</v>
          </cell>
        </row>
        <row r="112">
          <cell r="B112">
            <v>3.01</v>
          </cell>
          <cell r="C112">
            <v>4.2649999999999997</v>
          </cell>
          <cell r="D112">
            <v>3072.01</v>
          </cell>
          <cell r="E112">
            <v>7.57</v>
          </cell>
          <cell r="F112">
            <v>12.092599999999999</v>
          </cell>
        </row>
        <row r="113">
          <cell r="B113">
            <v>3.21</v>
          </cell>
          <cell r="C113">
            <v>4.26</v>
          </cell>
          <cell r="D113">
            <v>3174.79</v>
          </cell>
          <cell r="E113">
            <v>14.180000000000001</v>
          </cell>
          <cell r="F113">
            <v>11.1814</v>
          </cell>
        </row>
        <row r="114">
          <cell r="B114">
            <v>3.25</v>
          </cell>
          <cell r="C114">
            <v>4.2590000000000003</v>
          </cell>
          <cell r="D114">
            <v>3247.72</v>
          </cell>
          <cell r="E114">
            <v>15.73</v>
          </cell>
          <cell r="F114">
            <v>10.656599999999999</v>
          </cell>
        </row>
        <row r="115">
          <cell r="B115">
            <v>3.31</v>
          </cell>
          <cell r="C115">
            <v>4.2489999999999997</v>
          </cell>
          <cell r="D115">
            <v>3357.82</v>
          </cell>
          <cell r="E115">
            <v>16.619999999999997</v>
          </cell>
          <cell r="F115">
            <v>10.9519</v>
          </cell>
        </row>
        <row r="116">
          <cell r="B116">
            <v>3.43</v>
          </cell>
          <cell r="C116">
            <v>4.2160000000000002</v>
          </cell>
          <cell r="D116">
            <v>3205.67</v>
          </cell>
          <cell r="E116">
            <v>9.379999999999999</v>
          </cell>
          <cell r="F116">
            <v>9.7228999999999992</v>
          </cell>
        </row>
        <row r="117">
          <cell r="B117">
            <v>3.79</v>
          </cell>
          <cell r="C117">
            <v>4.2359999999999998</v>
          </cell>
          <cell r="D117">
            <v>3296.85</v>
          </cell>
          <cell r="E117">
            <v>14.64</v>
          </cell>
          <cell r="F117">
            <v>11.2807</v>
          </cell>
        </row>
        <row r="118">
          <cell r="B118">
            <v>3.75</v>
          </cell>
          <cell r="C118">
            <v>4.2569999999999997</v>
          </cell>
          <cell r="D118">
            <v>3427.29</v>
          </cell>
          <cell r="E118">
            <v>13.209999999999999</v>
          </cell>
          <cell r="F118">
            <v>11.1973</v>
          </cell>
        </row>
        <row r="119">
          <cell r="B119">
            <v>3.82</v>
          </cell>
          <cell r="C119">
            <v>4.25</v>
          </cell>
          <cell r="D119">
            <v>3462.01</v>
          </cell>
          <cell r="E119">
            <v>16.48</v>
          </cell>
          <cell r="F119">
            <v>10.8003</v>
          </cell>
        </row>
        <row r="120">
          <cell r="B120">
            <v>3.86</v>
          </cell>
          <cell r="C120">
            <v>4.2629999999999999</v>
          </cell>
          <cell r="D120">
            <v>3389.94</v>
          </cell>
          <cell r="E120">
            <v>5.85</v>
          </cell>
          <cell r="F120">
            <v>10.1236</v>
          </cell>
        </row>
        <row r="121">
          <cell r="B121">
            <v>3.84</v>
          </cell>
          <cell r="C121">
            <v>4.26</v>
          </cell>
          <cell r="D121">
            <v>3522.48</v>
          </cell>
          <cell r="E121">
            <v>8.7200000000000006</v>
          </cell>
          <cell r="F121">
            <v>9.6186000000000007</v>
          </cell>
        </row>
        <row r="122">
          <cell r="B122">
            <v>3.8</v>
          </cell>
          <cell r="C122">
            <v>4.258</v>
          </cell>
          <cell r="D122">
            <v>3277.14</v>
          </cell>
          <cell r="E122">
            <v>0.8428340641587706</v>
          </cell>
          <cell r="F122">
            <v>9.9497</v>
          </cell>
        </row>
        <row r="123">
          <cell r="B123">
            <v>3.62</v>
          </cell>
          <cell r="C123">
            <v>4.258</v>
          </cell>
          <cell r="D123">
            <v>3411.45</v>
          </cell>
          <cell r="E123">
            <v>7.84</v>
          </cell>
          <cell r="F123">
            <v>13.458500000000001</v>
          </cell>
        </row>
        <row r="124">
          <cell r="B124">
            <v>3.72</v>
          </cell>
          <cell r="C124">
            <v>4.2519999999999998</v>
          </cell>
          <cell r="D124">
            <v>3539.86</v>
          </cell>
          <cell r="E124">
            <v>15.229999999999999</v>
          </cell>
          <cell r="F124">
            <v>12.8131</v>
          </cell>
        </row>
        <row r="125">
          <cell r="B125">
            <v>3.86</v>
          </cell>
          <cell r="C125">
            <v>3.3719999999999999</v>
          </cell>
          <cell r="D125">
            <v>4064.81</v>
          </cell>
          <cell r="E125">
            <v>28.03</v>
          </cell>
          <cell r="F125">
            <v>13.1828</v>
          </cell>
        </row>
        <row r="126">
          <cell r="B126">
            <v>3.51</v>
          </cell>
          <cell r="C126">
            <v>2.9420000000000002</v>
          </cell>
          <cell r="D126">
            <v>3983.29</v>
          </cell>
          <cell r="E126">
            <v>22.650000000000002</v>
          </cell>
          <cell r="F126">
            <v>20.485299999999999</v>
          </cell>
        </row>
        <row r="127">
          <cell r="B127">
            <v>2.85</v>
          </cell>
          <cell r="C127">
            <v>2.548</v>
          </cell>
          <cell r="D127">
            <v>3718.82</v>
          </cell>
          <cell r="E127">
            <v>10.75</v>
          </cell>
          <cell r="F127">
            <v>21.972000000000001</v>
          </cell>
        </row>
        <row r="128">
          <cell r="B128">
            <v>2.19</v>
          </cell>
          <cell r="C128">
            <v>2.2730000000000001</v>
          </cell>
          <cell r="D128">
            <v>3758.91</v>
          </cell>
          <cell r="E128">
            <v>17.260000000000002</v>
          </cell>
          <cell r="F128">
            <v>20.359100000000002</v>
          </cell>
        </row>
        <row r="129">
          <cell r="B129">
            <v>1.97</v>
          </cell>
          <cell r="C129">
            <v>2.141</v>
          </cell>
          <cell r="D129">
            <v>3739.49</v>
          </cell>
          <cell r="E129">
            <v>13.43</v>
          </cell>
          <cell r="F129">
            <v>20.9147</v>
          </cell>
        </row>
        <row r="130">
          <cell r="B130">
            <v>1.88</v>
          </cell>
          <cell r="C130">
            <v>2.0630000000000002</v>
          </cell>
          <cell r="D130">
            <v>3760.38</v>
          </cell>
          <cell r="E130">
            <v>9.7200000000000006</v>
          </cell>
          <cell r="F130">
            <v>17.442699999999999</v>
          </cell>
        </row>
        <row r="131">
          <cell r="B131">
            <v>1.97</v>
          </cell>
          <cell r="C131">
            <v>1.7370000000000001</v>
          </cell>
          <cell r="D131">
            <v>3878.94</v>
          </cell>
          <cell r="E131">
            <v>12.04</v>
          </cell>
          <cell r="F131">
            <v>16.2928</v>
          </cell>
        </row>
        <row r="132">
          <cell r="B132">
            <v>1.75</v>
          </cell>
          <cell r="C132">
            <v>1.7190000000000001</v>
          </cell>
          <cell r="D132">
            <v>3858.56</v>
          </cell>
          <cell r="E132">
            <v>13.819999999999999</v>
          </cell>
          <cell r="F132">
            <v>15.2814</v>
          </cell>
        </row>
        <row r="133">
          <cell r="B133">
            <v>1.49</v>
          </cell>
          <cell r="C133">
            <v>1.748</v>
          </cell>
          <cell r="D133">
            <v>3611.44</v>
          </cell>
          <cell r="E133">
            <v>2.5299999999999998</v>
          </cell>
          <cell r="F133">
            <v>13.912800000000001</v>
          </cell>
        </row>
        <row r="134">
          <cell r="B134">
            <v>1.61</v>
          </cell>
          <cell r="C134">
            <v>1.728</v>
          </cell>
          <cell r="D134">
            <v>3432.5</v>
          </cell>
          <cell r="E134">
            <v>4.74</v>
          </cell>
          <cell r="F134">
            <v>13.914199999999999</v>
          </cell>
        </row>
        <row r="135">
          <cell r="B135">
            <v>1.6</v>
          </cell>
          <cell r="C135">
            <v>1.6930000000000001</v>
          </cell>
          <cell r="D135">
            <v>3559.46</v>
          </cell>
          <cell r="E135">
            <v>4.34</v>
          </cell>
          <cell r="F135">
            <v>17.563300000000002</v>
          </cell>
        </row>
        <row r="136">
          <cell r="B136">
            <v>1.56</v>
          </cell>
          <cell r="C136">
            <v>1.728</v>
          </cell>
          <cell r="D136">
            <v>3624.39</v>
          </cell>
          <cell r="E136">
            <v>2.39</v>
          </cell>
          <cell r="F136">
            <v>15.5852</v>
          </cell>
        </row>
        <row r="137">
          <cell r="B137">
            <v>1.51</v>
          </cell>
          <cell r="C137">
            <v>1.772</v>
          </cell>
          <cell r="D137">
            <v>3736.91</v>
          </cell>
          <cell r="E137">
            <v>-8.07</v>
          </cell>
          <cell r="F137">
            <v>14.7255</v>
          </cell>
        </row>
        <row r="138">
          <cell r="B138">
            <v>1.95</v>
          </cell>
          <cell r="C138">
            <v>1.7450000000000001</v>
          </cell>
          <cell r="D138">
            <v>3712.89</v>
          </cell>
          <cell r="E138">
            <v>-6.79</v>
          </cell>
          <cell r="F138">
            <v>15.488</v>
          </cell>
        </row>
        <row r="139">
          <cell r="B139">
            <v>3.3</v>
          </cell>
          <cell r="C139">
            <v>1.837</v>
          </cell>
          <cell r="D139">
            <v>3715.28</v>
          </cell>
          <cell r="E139">
            <v>-0.1</v>
          </cell>
          <cell r="F139">
            <v>15.2042</v>
          </cell>
        </row>
        <row r="140">
          <cell r="B140">
            <v>3.63</v>
          </cell>
          <cell r="C140">
            <v>1.923</v>
          </cell>
          <cell r="D140">
            <v>3756.67</v>
          </cell>
          <cell r="E140">
            <v>-0.06</v>
          </cell>
          <cell r="F140">
            <v>14.646599999999999</v>
          </cell>
        </row>
        <row r="141">
          <cell r="B141">
            <v>3.97</v>
          </cell>
          <cell r="C141">
            <v>1.863</v>
          </cell>
          <cell r="D141">
            <v>3867.88</v>
          </cell>
          <cell r="E141">
            <v>3.43</v>
          </cell>
          <cell r="F141">
            <v>13.0585</v>
          </cell>
        </row>
        <row r="142">
          <cell r="B142">
            <v>4.4400000000000004</v>
          </cell>
          <cell r="C142">
            <v>2.0249999999999999</v>
          </cell>
          <cell r="D142">
            <v>3806.87</v>
          </cell>
          <cell r="E142">
            <v>1.24</v>
          </cell>
          <cell r="F142">
            <v>12.8614</v>
          </cell>
        </row>
        <row r="143">
          <cell r="B143">
            <v>4.51</v>
          </cell>
          <cell r="C143">
            <v>2.4449999999999998</v>
          </cell>
          <cell r="D143">
            <v>3834.68</v>
          </cell>
          <cell r="E143">
            <v>-1.1399999999999999</v>
          </cell>
          <cell r="F143">
            <v>11.9613</v>
          </cell>
        </row>
        <row r="144">
          <cell r="B144">
            <v>4.58</v>
          </cell>
          <cell r="C144">
            <v>2.6859999999999999</v>
          </cell>
          <cell r="D144">
            <v>3784.44</v>
          </cell>
          <cell r="E144">
            <v>-1.92</v>
          </cell>
          <cell r="F144">
            <v>11.995200000000001</v>
          </cell>
        </row>
        <row r="145">
          <cell r="B145">
            <v>5.26</v>
          </cell>
          <cell r="C145">
            <v>3.0910000000000002</v>
          </cell>
          <cell r="D145">
            <v>4010.98</v>
          </cell>
          <cell r="E145">
            <v>11.06</v>
          </cell>
          <cell r="F145">
            <v>11.533099999999999</v>
          </cell>
        </row>
        <row r="146">
          <cell r="B146">
            <v>5.6226713901415648</v>
          </cell>
          <cell r="C146">
            <v>3.5110000000000001</v>
          </cell>
          <cell r="D146">
            <v>3981.16</v>
          </cell>
          <cell r="E146">
            <v>15.98</v>
          </cell>
          <cell r="F146">
            <v>11.096500000000001</v>
          </cell>
        </row>
        <row r="147">
          <cell r="B147">
            <v>6.9445991916718297</v>
          </cell>
          <cell r="C147">
            <v>4.3739999999999997</v>
          </cell>
          <cell r="D147">
            <v>3982.6</v>
          </cell>
          <cell r="E147">
            <v>11.887758255465709</v>
          </cell>
          <cell r="F147">
            <v>14.6473</v>
          </cell>
        </row>
        <row r="148">
          <cell r="B148">
            <v>8.005195301860347</v>
          </cell>
          <cell r="C148">
            <v>5.2560000000000002</v>
          </cell>
          <cell r="D148">
            <v>3910.64</v>
          </cell>
          <cell r="E148">
            <v>7.8978807468291112</v>
          </cell>
          <cell r="F148">
            <v>12.905200000000001</v>
          </cell>
        </row>
        <row r="149">
          <cell r="B149">
            <v>8.5278752531998681</v>
          </cell>
          <cell r="C149">
            <v>6.3470000000000004</v>
          </cell>
          <cell r="D149">
            <v>3748.15</v>
          </cell>
          <cell r="E149">
            <v>0.30078326745894834</v>
          </cell>
          <cell r="F149">
            <v>12.1212</v>
          </cell>
        </row>
        <row r="150">
          <cell r="B150">
            <v>9.2341040422196485</v>
          </cell>
          <cell r="C150">
            <v>6.4589999999999996</v>
          </cell>
          <cell r="D150">
            <v>3966.27</v>
          </cell>
          <cell r="E150">
            <v>6.8243336053586345</v>
          </cell>
          <cell r="F150">
            <v>11.1685</v>
          </cell>
        </row>
        <row r="151">
          <cell r="B151">
            <v>9.0667767289255288</v>
          </cell>
          <cell r="C151">
            <v>7.2329999999999997</v>
          </cell>
          <cell r="D151">
            <v>3912.34</v>
          </cell>
          <cell r="E151">
            <v>5.3040416873021634</v>
          </cell>
          <cell r="F151">
            <v>10.648300000000001</v>
          </cell>
        </row>
        <row r="152">
          <cell r="B152">
            <v>9.6738344957970401</v>
          </cell>
          <cell r="C152">
            <v>8.3279999999999994</v>
          </cell>
          <cell r="D152">
            <v>4127.47</v>
          </cell>
          <cell r="E152">
            <v>9.8704437706798931</v>
          </cell>
          <cell r="F152">
            <v>11.261200000000001</v>
          </cell>
        </row>
        <row r="153">
          <cell r="B153">
            <v>10.205825019961434</v>
          </cell>
          <cell r="C153">
            <v>9.2840000000000007</v>
          </cell>
          <cell r="D153">
            <v>4300.3</v>
          </cell>
          <cell r="E153">
            <v>11.179767728057755</v>
          </cell>
          <cell r="F153">
            <v>10.988899999999999</v>
          </cell>
        </row>
        <row r="154">
          <cell r="B154">
            <v>10.835976009571645</v>
          </cell>
          <cell r="C154">
            <v>9.9749999999999996</v>
          </cell>
          <cell r="D154">
            <v>4400.16</v>
          </cell>
          <cell r="E154">
            <v>15.584719205016185</v>
          </cell>
          <cell r="F154">
            <v>10.6313</v>
          </cell>
        </row>
        <row r="155">
          <cell r="B155">
            <v>11.439885674114514</v>
          </cell>
          <cell r="C155">
            <v>10.712</v>
          </cell>
          <cell r="D155">
            <v>4532.07</v>
          </cell>
          <cell r="E155">
            <v>18.186393649535294</v>
          </cell>
          <cell r="F155">
            <v>10.7484</v>
          </cell>
        </row>
        <row r="156">
          <cell r="B156">
            <v>12.221753580520534</v>
          </cell>
          <cell r="C156">
            <v>11.454000000000001</v>
          </cell>
          <cell r="D156">
            <v>4819.12</v>
          </cell>
          <cell r="E156">
            <v>27.340372683937385</v>
          </cell>
          <cell r="F156">
            <v>9.7210000000000001</v>
          </cell>
        </row>
        <row r="157">
          <cell r="B157">
            <v>12.531461584182878</v>
          </cell>
          <cell r="C157">
            <v>11.722</v>
          </cell>
          <cell r="D157">
            <v>4809.51</v>
          </cell>
          <cell r="E157">
            <v>19.908600890555441</v>
          </cell>
          <cell r="F157">
            <v>9.5007999999999999</v>
          </cell>
        </row>
        <row r="158">
          <cell r="B158">
            <v>13.122464299463799</v>
          </cell>
          <cell r="C158">
            <v>12.359</v>
          </cell>
          <cell r="D158">
            <v>4810.2</v>
          </cell>
          <cell r="E158">
            <v>20.824081423504715</v>
          </cell>
          <cell r="F158">
            <v>10.2727</v>
          </cell>
        </row>
        <row r="159">
          <cell r="B159">
            <v>13.251978835328559</v>
          </cell>
          <cell r="C159">
            <v>12.834</v>
          </cell>
          <cell r="D159">
            <v>4632.2</v>
          </cell>
          <cell r="E159">
            <v>16.310952644001397</v>
          </cell>
          <cell r="F159">
            <v>13.704360068</v>
          </cell>
        </row>
        <row r="160">
          <cell r="B160">
            <v>13.279013337512403</v>
          </cell>
          <cell r="C160">
            <v>13.071</v>
          </cell>
          <cell r="D160">
            <v>4808.1400000000003</v>
          </cell>
          <cell r="E160">
            <v>22.950207638647392</v>
          </cell>
          <cell r="F160">
            <v>11.353126105999999</v>
          </cell>
        </row>
        <row r="161">
          <cell r="B161">
            <v>13.344330593537235</v>
          </cell>
          <cell r="C161">
            <v>13.007</v>
          </cell>
          <cell r="D161">
            <v>4627.2700000000004</v>
          </cell>
          <cell r="E161">
            <v>23.454771020370057</v>
          </cell>
          <cell r="F161">
            <v>10.032543955</v>
          </cell>
        </row>
        <row r="162">
          <cell r="B162">
            <v>12.82287174741008</v>
          </cell>
          <cell r="C162">
            <v>13.15</v>
          </cell>
          <cell r="D162">
            <v>4669</v>
          </cell>
          <cell r="E162">
            <v>17.717654118353021</v>
          </cell>
          <cell r="F162">
            <v>10.724700482999999</v>
          </cell>
        </row>
        <row r="163">
          <cell r="B163">
            <v>12.360253381479168</v>
          </cell>
          <cell r="C163">
            <v>13.239000000000001</v>
          </cell>
          <cell r="D163">
            <v>4408.6499999999996</v>
          </cell>
          <cell r="E163">
            <v>12.685758395231495</v>
          </cell>
          <cell r="F163">
            <v>10.475099999999999</v>
          </cell>
        </row>
        <row r="164">
          <cell r="B164">
            <v>12.129615062268439</v>
          </cell>
          <cell r="C164">
            <v>13.254</v>
          </cell>
          <cell r="D164">
            <v>4191.28</v>
          </cell>
          <cell r="E164">
            <v>1.545983374803428</v>
          </cell>
          <cell r="F164">
            <v>9.3423096210000001</v>
          </cell>
        </row>
        <row r="165">
          <cell r="B165">
            <v>11.78</v>
          </cell>
          <cell r="C165">
            <v>13.112</v>
          </cell>
          <cell r="D165">
            <v>3923.49</v>
          </cell>
          <cell r="E165">
            <v>-8.762411924749447</v>
          </cell>
          <cell r="F165">
            <v>9.5728505639999995</v>
          </cell>
        </row>
        <row r="166">
          <cell r="B166">
            <v>11.43</v>
          </cell>
          <cell r="C166">
            <v>13.111000000000001</v>
          </cell>
          <cell r="D166">
            <v>4085.33</v>
          </cell>
          <cell r="E166">
            <v>-7.1549670921057356</v>
          </cell>
          <cell r="F166">
            <v>9.2773719989999996</v>
          </cell>
        </row>
        <row r="167">
          <cell r="B167">
            <v>10.99</v>
          </cell>
          <cell r="C167">
            <v>13.085000000000001</v>
          </cell>
          <cell r="D167">
            <v>4053.76</v>
          </cell>
          <cell r="E167">
            <v>-10.553897005121271</v>
          </cell>
          <cell r="F167">
            <v>9.2526741799999996</v>
          </cell>
        </row>
        <row r="168">
          <cell r="B168">
            <v>10.48</v>
          </cell>
          <cell r="C168">
            <v>13.092000000000001</v>
          </cell>
          <cell r="D168">
            <v>4060.83</v>
          </cell>
          <cell r="E168">
            <v>-15.735030461993061</v>
          </cell>
          <cell r="F168">
            <v>9.2309123839999998</v>
          </cell>
        </row>
        <row r="169">
          <cell r="B169">
            <v>10.15</v>
          </cell>
          <cell r="C169">
            <v>12.916</v>
          </cell>
          <cell r="D169">
            <v>3980.67</v>
          </cell>
          <cell r="E169">
            <v>-17.233356412607527</v>
          </cell>
          <cell r="F169">
            <v>9.0073861569999991</v>
          </cell>
        </row>
        <row r="170">
          <cell r="B170">
            <v>9.2760550452018151</v>
          </cell>
          <cell r="C170">
            <v>12.714</v>
          </cell>
          <cell r="D170">
            <v>3822.05</v>
          </cell>
          <cell r="E170">
            <v>-20.542804872978248</v>
          </cell>
          <cell r="F170">
            <v>10.013717396181599</v>
          </cell>
        </row>
        <row r="171">
          <cell r="B171">
            <v>8.3465636999175743</v>
          </cell>
          <cell r="C171">
            <v>12.397</v>
          </cell>
          <cell r="D171">
            <v>3925.6</v>
          </cell>
          <cell r="E171">
            <v>-15.25409092871638</v>
          </cell>
          <cell r="F171">
            <v>12.661635826705913</v>
          </cell>
        </row>
        <row r="172">
          <cell r="B172">
            <v>7.7373806718130433</v>
          </cell>
          <cell r="C172">
            <v>12.226000000000001</v>
          </cell>
          <cell r="D172">
            <v>3933.56</v>
          </cell>
          <cell r="E172">
            <v>-18.18957018722417</v>
          </cell>
          <cell r="F172">
            <v>11.666144792067652</v>
          </cell>
        </row>
        <row r="173">
          <cell r="B173">
            <v>7.3626914348644767</v>
          </cell>
          <cell r="C173">
            <v>11.827999999999999</v>
          </cell>
          <cell r="D173">
            <v>3842.3</v>
          </cell>
          <cell r="E173">
            <v>-16.96399821060799</v>
          </cell>
          <cell r="F173">
            <v>11.285719499435782</v>
          </cell>
        </row>
        <row r="174">
          <cell r="B174">
            <v>7.163281126755483</v>
          </cell>
          <cell r="C174">
            <v>11.56</v>
          </cell>
          <cell r="D174">
            <v>3873.44</v>
          </cell>
          <cell r="E174">
            <v>-17.039194688370095</v>
          </cell>
          <cell r="F174">
            <v>10.646715730368971</v>
          </cell>
        </row>
        <row r="175">
          <cell r="B175">
            <v>7.1569275409043343</v>
          </cell>
          <cell r="C175">
            <v>11.167</v>
          </cell>
          <cell r="D175">
            <v>3874.32</v>
          </cell>
          <cell r="E175">
            <v>-12.12003674594262</v>
          </cell>
          <cell r="F175">
            <v>10.305870827614305</v>
          </cell>
        </row>
        <row r="176">
          <cell r="B176">
            <v>7.1824626350778464</v>
          </cell>
          <cell r="C176">
            <v>10.866</v>
          </cell>
          <cell r="D176">
            <v>4148.04</v>
          </cell>
          <cell r="E176">
            <v>-1.0316657441163501</v>
          </cell>
          <cell r="F176">
            <v>10.268590171466832</v>
          </cell>
        </row>
        <row r="177">
          <cell r="B177">
            <v>6.8600414451028602</v>
          </cell>
          <cell r="C177">
            <v>10.523999999999999</v>
          </cell>
          <cell r="D177">
            <v>4089.05</v>
          </cell>
          <cell r="E177">
            <v>4.2197125518352419</v>
          </cell>
          <cell r="F177">
            <v>9.9181446285116568</v>
          </cell>
        </row>
        <row r="178">
          <cell r="B178">
            <v>6.1204537923945646</v>
          </cell>
          <cell r="C178">
            <v>10.179</v>
          </cell>
          <cell r="D178">
            <v>4160.3100000000004</v>
          </cell>
          <cell r="E178">
            <v>1.8353474505119705</v>
          </cell>
          <cell r="F178">
            <v>9.6626578419937097</v>
          </cell>
        </row>
        <row r="179">
          <cell r="B179">
            <v>5.8087765966825522</v>
          </cell>
          <cell r="C179">
            <v>9.7149999999999999</v>
          </cell>
          <cell r="D179">
            <v>4164.21</v>
          </cell>
          <cell r="E179">
            <v>2.7246309598989438</v>
          </cell>
          <cell r="F179">
            <v>9.1344769517755928</v>
          </cell>
        </row>
        <row r="180">
          <cell r="B180">
            <v>5.4061275728907843</v>
          </cell>
          <cell r="C180">
            <v>9.4469999999999992</v>
          </cell>
          <cell r="D180">
            <v>4413.46</v>
          </cell>
          <cell r="E180">
            <v>8.6836927426166675</v>
          </cell>
          <cell r="F180">
            <v>9.1337601500858749</v>
          </cell>
        </row>
        <row r="181">
          <cell r="B181">
            <v>5.1973577964305795</v>
          </cell>
          <cell r="C181">
            <v>9.25</v>
          </cell>
          <cell r="D181">
            <v>4419.59</v>
          </cell>
          <cell r="E181">
            <v>11.026284519942632</v>
          </cell>
          <cell r="F181">
            <v>8.1687634793625499</v>
          </cell>
        </row>
        <row r="182">
          <cell r="B182">
            <v>5.2030659303403448</v>
          </cell>
          <cell r="C182">
            <v>9.3960000000000008</v>
          </cell>
          <cell r="D182">
            <v>4409.1499999999996</v>
          </cell>
          <cell r="E182">
            <v>15.36</v>
          </cell>
          <cell r="F182">
            <v>9.1252953803636494</v>
          </cell>
        </row>
        <row r="183">
          <cell r="B183">
            <v>5.22298042310545</v>
          </cell>
          <cell r="C183">
            <v>9.2360000000000007</v>
          </cell>
          <cell r="D183">
            <v>4170.01</v>
          </cell>
          <cell r="E183">
            <v>6.2260546158549035</v>
          </cell>
          <cell r="F183">
            <v>11.636036642818445</v>
          </cell>
        </row>
        <row r="184">
          <cell r="B184">
            <v>5.2765843800580248</v>
          </cell>
          <cell r="C184">
            <v>9.2910000000000004</v>
          </cell>
          <cell r="D184">
            <v>4120.1099999999997</v>
          </cell>
          <cell r="E184">
            <v>4.7425233122158961</v>
          </cell>
          <cell r="F184">
            <v>10.33046346346282</v>
          </cell>
        </row>
        <row r="185">
          <cell r="B185">
            <v>5.08999660294156</v>
          </cell>
          <cell r="C185">
            <v>9.327</v>
          </cell>
          <cell r="D185">
            <v>4192.57</v>
          </cell>
          <cell r="E185">
            <v>9.1161543866954631</v>
          </cell>
          <cell r="F185">
            <v>9.6163686629637048</v>
          </cell>
        </row>
        <row r="186">
          <cell r="B186">
            <v>5.1622882865170583</v>
          </cell>
          <cell r="C186">
            <v>9.3940000000000001</v>
          </cell>
          <cell r="D186">
            <v>4198.83</v>
          </cell>
          <cell r="E186">
            <v>8.4005431864182754</v>
          </cell>
          <cell r="F186">
            <v>8.7825059385890309</v>
          </cell>
        </row>
        <row r="187">
          <cell r="B187">
            <v>5.0521050746840324</v>
          </cell>
          <cell r="C187">
            <v>9.1359999999999992</v>
          </cell>
          <cell r="D187">
            <v>4148.72</v>
          </cell>
          <cell r="E187">
            <v>7.0825331929216029</v>
          </cell>
          <cell r="F187">
            <v>9.0364158093294087</v>
          </cell>
        </row>
        <row r="188">
          <cell r="B188">
            <v>4.8200721707341909</v>
          </cell>
          <cell r="C188">
            <v>9.1069999999999993</v>
          </cell>
          <cell r="D188">
            <v>4069.67</v>
          </cell>
          <cell r="E188">
            <v>-1.889326043143269</v>
          </cell>
          <cell r="F188">
            <v>8.5540200861558695</v>
          </cell>
        </row>
        <row r="189">
          <cell r="B189">
            <v>4.9004634898229371</v>
          </cell>
          <cell r="C189">
            <v>9.0229999999999997</v>
          </cell>
          <cell r="D189">
            <v>4179.6899999999996</v>
          </cell>
          <cell r="E189">
            <v>2.2166517895354509</v>
          </cell>
          <cell r="F189">
            <v>8.8418118741921852</v>
          </cell>
        </row>
        <row r="190">
          <cell r="B190">
            <v>5.0955737641477317</v>
          </cell>
          <cell r="C190">
            <v>9.1809999999999992</v>
          </cell>
          <cell r="D190">
            <v>4018.41</v>
          </cell>
          <cell r="E190">
            <v>-3.4108035218529564</v>
          </cell>
          <cell r="F190">
            <v>8.5984509167776952</v>
          </cell>
        </row>
        <row r="191">
          <cell r="B191">
            <v>5.1767404992538735</v>
          </cell>
          <cell r="C191">
            <v>9.2070000000000007</v>
          </cell>
          <cell r="D191">
            <v>3901.29</v>
          </cell>
          <cell r="E191">
            <v>-6.3138026180235896</v>
          </cell>
          <cell r="F191">
            <v>8.1734824737352785</v>
          </cell>
        </row>
        <row r="192">
          <cell r="B192">
            <v>5.5122302147269098</v>
          </cell>
          <cell r="C192">
            <v>9.2759999999999998</v>
          </cell>
          <cell r="D192">
            <v>3870.42</v>
          </cell>
          <cell r="E192">
            <v>-12.304178580977288</v>
          </cell>
          <cell r="F192">
            <v>8.2036728750044716</v>
          </cell>
        </row>
        <row r="193">
          <cell r="B193">
            <v>5.3010692833363793</v>
          </cell>
          <cell r="C193">
            <v>9.4670000000000005</v>
          </cell>
          <cell r="D193">
            <v>3744.43</v>
          </cell>
          <cell r="E193">
            <v>-15.276530175876047</v>
          </cell>
          <cell r="F193">
            <v>7.0248576645484269</v>
          </cell>
        </row>
        <row r="194">
          <cell r="B194">
            <v>5.0998826144691867</v>
          </cell>
          <cell r="C194">
            <v>9.8789999999999996</v>
          </cell>
          <cell r="D194">
            <v>3757.08</v>
          </cell>
          <cell r="E194">
            <v>-14.789018291507428</v>
          </cell>
          <cell r="F194">
            <v>7.9771036256359382</v>
          </cell>
        </row>
        <row r="195">
          <cell r="B195">
            <v>5.3542122538293047</v>
          </cell>
          <cell r="C195">
            <v>10.08</v>
          </cell>
          <cell r="D195">
            <v>3670.47</v>
          </cell>
          <cell r="E195">
            <v>-11.97934777134828</v>
          </cell>
          <cell r="F195">
            <v>10.859452814202058</v>
          </cell>
        </row>
        <row r="196">
          <cell r="B196">
            <v>5.2941176470588047</v>
          </cell>
          <cell r="C196">
            <v>11.14</v>
          </cell>
          <cell r="D196">
            <v>3766.3</v>
          </cell>
          <cell r="E196">
            <v>-8.5873920841919134</v>
          </cell>
          <cell r="F196">
            <v>9.234958425182727</v>
          </cell>
        </row>
        <row r="197">
          <cell r="B197">
            <v>5.555555555555558</v>
          </cell>
          <cell r="C197">
            <v>11.654</v>
          </cell>
          <cell r="D197">
            <v>3669.96</v>
          </cell>
          <cell r="E197">
            <v>-12.465146676143746</v>
          </cell>
          <cell r="F197">
            <v>8.7933861147571992</v>
          </cell>
        </row>
        <row r="198">
          <cell r="B198">
            <v>5.6862221034344351</v>
          </cell>
          <cell r="C198">
            <v>12.121</v>
          </cell>
          <cell r="D198">
            <v>3621.86</v>
          </cell>
          <cell r="E198">
            <v>-13.741208860563535</v>
          </cell>
          <cell r="F198">
            <v>8.7814568020438806</v>
          </cell>
        </row>
        <row r="199">
          <cell r="B199">
            <v>5.8412148661249663</v>
          </cell>
          <cell r="C199">
            <v>11.909000000000001</v>
          </cell>
          <cell r="D199">
            <v>3678.15</v>
          </cell>
          <cell r="E199">
            <v>-11.342534564877848</v>
          </cell>
          <cell r="F199">
            <v>8.0206511267912095</v>
          </cell>
        </row>
        <row r="200">
          <cell r="B200">
            <v>6.1410512308715859</v>
          </cell>
          <cell r="C200">
            <v>12.154</v>
          </cell>
          <cell r="D200">
            <v>3443.59</v>
          </cell>
          <cell r="E200">
            <v>-15.384048338071633</v>
          </cell>
          <cell r="F200">
            <v>8.0269262447016398</v>
          </cell>
        </row>
        <row r="201">
          <cell r="B201">
            <v>6.0248158715413558</v>
          </cell>
          <cell r="C201">
            <v>12.477</v>
          </cell>
          <cell r="D201">
            <v>3132.42</v>
          </cell>
          <cell r="E201">
            <v>-25.056164452387609</v>
          </cell>
          <cell r="F201">
            <v>8.1045776216098808</v>
          </cell>
        </row>
        <row r="202">
          <cell r="B202">
            <v>6.2454467183256979</v>
          </cell>
          <cell r="C202">
            <v>12.092000000000001</v>
          </cell>
          <cell r="D202">
            <v>3202.79</v>
          </cell>
          <cell r="E202">
            <v>-20.297082676979205</v>
          </cell>
          <cell r="F202">
            <v>9.3636797215898699</v>
          </cell>
        </row>
        <row r="203">
          <cell r="C203">
            <v>12.243</v>
          </cell>
          <cell r="D203">
            <v>3341.23</v>
          </cell>
          <cell r="E203">
            <v>-14.355764375373269</v>
          </cell>
        </row>
      </sheetData>
      <sheetData sheetId="1">
        <row r="2">
          <cell r="B2">
            <v>3.1798941803498875</v>
          </cell>
        </row>
        <row r="3">
          <cell r="B3">
            <v>4.1095506329670242</v>
          </cell>
        </row>
        <row r="4">
          <cell r="B4">
            <v>4.2312373958444107</v>
          </cell>
        </row>
        <row r="5">
          <cell r="B5">
            <v>4.1648683599877803</v>
          </cell>
        </row>
        <row r="6">
          <cell r="B6">
            <v>5.4527130657230822</v>
          </cell>
        </row>
        <row r="7">
          <cell r="B7">
            <v>6.483238446003563</v>
          </cell>
        </row>
        <row r="8">
          <cell r="B8">
            <v>6.9355959438457235</v>
          </cell>
        </row>
        <row r="9">
          <cell r="B9">
            <v>8.0138641961539179</v>
          </cell>
        </row>
        <row r="10">
          <cell r="B10">
            <v>6.3616253902690181</v>
          </cell>
        </row>
        <row r="11">
          <cell r="B11">
            <v>6.1618951115065297</v>
          </cell>
        </row>
        <row r="12">
          <cell r="B12">
            <v>4.6947093568785263</v>
          </cell>
        </row>
        <row r="13">
          <cell r="B13">
            <v>2.1601877253306747</v>
          </cell>
        </row>
        <row r="14">
          <cell r="B14">
            <v>2.737132588943048</v>
          </cell>
        </row>
        <row r="15">
          <cell r="B15">
            <v>2.583721256284341</v>
          </cell>
        </row>
        <row r="16">
          <cell r="B16">
            <v>5.1972393801482086</v>
          </cell>
        </row>
        <row r="17">
          <cell r="B17">
            <v>6.2859634508422859</v>
          </cell>
        </row>
        <row r="18">
          <cell r="B18">
            <v>6.4575674358233224</v>
          </cell>
        </row>
        <row r="19">
          <cell r="B19">
            <v>6.2878457385323356</v>
          </cell>
        </row>
        <row r="20">
          <cell r="B20">
            <v>3.8458965661279079</v>
          </cell>
        </row>
        <row r="21">
          <cell r="B21">
            <v>4.1917996743598041</v>
          </cell>
        </row>
        <row r="22">
          <cell r="B22">
            <v>3.7365591026118401</v>
          </cell>
        </row>
        <row r="23">
          <cell r="B23">
            <v>3.108746262725842</v>
          </cell>
        </row>
        <row r="24">
          <cell r="B24">
            <v>3.2752543989544582</v>
          </cell>
        </row>
        <row r="25">
          <cell r="B25">
            <v>3.4028809002951044</v>
          </cell>
        </row>
        <row r="26">
          <cell r="B26">
            <v>2.0501551424841598</v>
          </cell>
        </row>
        <row r="27">
          <cell r="B27">
            <v>2.7221379348244401</v>
          </cell>
        </row>
        <row r="28">
          <cell r="B28">
            <v>1.9578447784509074</v>
          </cell>
        </row>
        <row r="29">
          <cell r="B29">
            <v>1.3731974081435443</v>
          </cell>
        </row>
        <row r="30">
          <cell r="B30">
            <v>2.3061919043535881</v>
          </cell>
        </row>
        <row r="31">
          <cell r="B31">
            <v>0.85860790120022268</v>
          </cell>
        </row>
        <row r="32">
          <cell r="B32">
            <v>1.6294581038596656</v>
          </cell>
        </row>
        <row r="33">
          <cell r="B33">
            <v>1.5630656933697356</v>
          </cell>
        </row>
        <row r="34">
          <cell r="B34">
            <v>1.3857116136597794</v>
          </cell>
        </row>
        <row r="35">
          <cell r="B35">
            <v>2.1862786885274126</v>
          </cell>
        </row>
        <row r="36">
          <cell r="B36">
            <v>2.3347857161727976</v>
          </cell>
        </row>
        <row r="37">
          <cell r="B37">
            <v>2.8349671671548902</v>
          </cell>
        </row>
        <row r="38">
          <cell r="B38">
            <v>2.8954213912886027</v>
          </cell>
        </row>
        <row r="39">
          <cell r="B39">
            <v>3.1838652386427393</v>
          </cell>
        </row>
        <row r="40">
          <cell r="B40">
            <v>3.3924864787004889</v>
          </cell>
        </row>
        <row r="41">
          <cell r="B41">
            <v>3.0946033830063264</v>
          </cell>
        </row>
        <row r="42">
          <cell r="B42">
            <v>3.078602875485406</v>
          </cell>
        </row>
        <row r="43">
          <cell r="B43">
            <v>0.31947815843471655</v>
          </cell>
        </row>
        <row r="44">
          <cell r="B44">
            <v>-16.740150572624632</v>
          </cell>
        </row>
        <row r="45">
          <cell r="B45">
            <v>-9.0189546192286905</v>
          </cell>
        </row>
        <row r="46">
          <cell r="B46">
            <v>-3.2567754541874967</v>
          </cell>
        </row>
        <row r="47">
          <cell r="B47">
            <v>1.7776415497452007</v>
          </cell>
        </row>
        <row r="48">
          <cell r="B48">
            <v>18.269267322537821</v>
          </cell>
        </row>
        <row r="49">
          <cell r="B49">
            <v>13.522200522313035</v>
          </cell>
        </row>
        <row r="50">
          <cell r="B50">
            <v>11.061702362366745</v>
          </cell>
        </row>
        <row r="51">
          <cell r="B51">
            <v>7.6790433645437552</v>
          </cell>
        </row>
        <row r="52">
          <cell r="B52">
            <v>12.549059818293948</v>
          </cell>
        </row>
        <row r="53">
          <cell r="B53">
            <v>7.3699155471282625</v>
          </cell>
        </row>
        <row r="54">
          <cell r="B54">
            <v>2.2228250788833224</v>
          </cell>
        </row>
        <row r="55">
          <cell r="B55">
            <v>2.674944025625539</v>
          </cell>
        </row>
        <row r="56">
          <cell r="B56">
            <v>0.43905595868866759</v>
          </cell>
        </row>
        <row r="57">
          <cell r="B57">
            <v>-0.38501206832535828</v>
          </cell>
        </row>
        <row r="58">
          <cell r="B58">
            <v>0.67878523466029617</v>
          </cell>
        </row>
        <row r="59">
          <cell r="B59">
            <v>0.55915009126959747</v>
          </cell>
        </row>
        <row r="60">
          <cell r="B60">
            <v>1.2059714801297097</v>
          </cell>
        </row>
        <row r="61">
          <cell r="B61">
            <v>1.6354453943640115</v>
          </cell>
        </row>
        <row r="62">
          <cell r="B62">
            <v>2.5733746647533331</v>
          </cell>
        </row>
        <row r="63">
          <cell r="B63">
            <v>2.1968992188072485</v>
          </cell>
        </row>
        <row r="64">
          <cell r="B64">
            <v>2.28250327285433</v>
          </cell>
        </row>
        <row r="65">
          <cell r="B65">
            <v>3.7804902823799349</v>
          </cell>
        </row>
        <row r="66">
          <cell r="B66">
            <v>2.0251775663378231</v>
          </cell>
        </row>
        <row r="67">
          <cell r="B67">
            <v>2.3930134147764233</v>
          </cell>
        </row>
        <row r="68">
          <cell r="B68">
            <v>3.366898924540525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expectativas-trim@banrep.gov.co" TargetMode="External"/><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5D76-5DF6-40B2-BF5A-7F4B823A166D}">
  <dimension ref="A1:CK176"/>
  <sheetViews>
    <sheetView tabSelected="1" zoomScale="104" zoomScaleNormal="77" workbookViewId="0">
      <selection activeCell="BO12" sqref="BO12"/>
    </sheetView>
  </sheetViews>
  <sheetFormatPr baseColWidth="10" defaultColWidth="11.453125" defaultRowHeight="12.5" x14ac:dyDescent="0.25"/>
  <cols>
    <col min="1" max="1" width="20.453125" style="15" customWidth="1"/>
    <col min="2" max="2" width="15.26953125" style="15" customWidth="1"/>
    <col min="3" max="3" width="40.54296875" style="15" customWidth="1"/>
    <col min="4" max="4" width="27.26953125" style="15" customWidth="1"/>
    <col min="5" max="5" width="28" style="15" customWidth="1"/>
    <col min="6" max="6" width="25.1796875" style="15" customWidth="1"/>
    <col min="7" max="7" width="21.26953125" style="15" customWidth="1"/>
    <col min="8" max="8" width="19.26953125" style="15" customWidth="1"/>
    <col min="9" max="9" width="17" style="15" customWidth="1"/>
    <col min="10" max="10" width="7.7265625" style="15" customWidth="1"/>
    <col min="11" max="11" width="11.453125" style="15"/>
    <col min="12" max="12" width="7" style="15" bestFit="1" customWidth="1"/>
    <col min="13" max="13" width="21.81640625" style="15" bestFit="1" customWidth="1"/>
    <col min="14" max="14" width="8.54296875" style="15" bestFit="1" customWidth="1"/>
    <col min="15" max="15" width="15.26953125" style="15" bestFit="1" customWidth="1"/>
    <col min="16" max="16" width="7.1796875" style="15" bestFit="1" customWidth="1"/>
    <col min="17" max="17" width="6" style="15" bestFit="1" customWidth="1"/>
    <col min="18" max="18" width="6.1796875" style="15" bestFit="1" customWidth="1"/>
    <col min="19" max="19" width="6" style="15" bestFit="1" customWidth="1"/>
    <col min="20" max="21" width="6.1796875" style="15" bestFit="1" customWidth="1"/>
    <col min="22" max="22" width="5.7265625" style="15" bestFit="1" customWidth="1"/>
    <col min="23" max="23" width="5" style="15" bestFit="1" customWidth="1"/>
    <col min="24" max="24" width="5.1796875" style="15" bestFit="1" customWidth="1"/>
    <col min="25" max="26" width="4.1796875" style="15" bestFit="1" customWidth="1"/>
    <col min="27" max="27" width="5.7265625" style="15" bestFit="1" customWidth="1"/>
    <col min="28" max="28" width="5.81640625" style="15" bestFit="1" customWidth="1"/>
    <col min="29" max="29" width="5.7265625" style="15" bestFit="1" customWidth="1"/>
    <col min="30" max="30" width="5.81640625" style="15" bestFit="1" customWidth="1"/>
    <col min="31" max="31" width="6" style="15" bestFit="1" customWidth="1"/>
    <col min="32" max="32" width="6.1796875" style="15" bestFit="1" customWidth="1"/>
    <col min="33" max="33" width="5" style="15" bestFit="1" customWidth="1"/>
    <col min="34" max="35" width="5.1796875" style="15" bestFit="1" customWidth="1"/>
    <col min="36" max="36" width="4.7265625" style="15" bestFit="1" customWidth="1"/>
    <col min="37" max="37" width="5" style="15" bestFit="1" customWidth="1"/>
    <col min="38" max="38" width="5.1796875" style="15" bestFit="1" customWidth="1"/>
    <col min="39" max="39" width="4.1796875" style="15" bestFit="1" customWidth="1"/>
    <col min="40" max="40" width="5" style="15" bestFit="1" customWidth="1"/>
    <col min="41" max="41" width="5.1796875" style="15" bestFit="1" customWidth="1"/>
    <col min="42" max="42" width="5" style="15" bestFit="1" customWidth="1"/>
    <col min="43" max="44" width="5.1796875" style="15" bestFit="1" customWidth="1"/>
    <col min="45" max="45" width="4.7265625" style="15" bestFit="1" customWidth="1"/>
    <col min="46" max="46" width="5" style="15" bestFit="1" customWidth="1"/>
    <col min="47" max="47" width="5.1796875" style="15" bestFit="1" customWidth="1"/>
    <col min="48" max="49" width="4.7265625" style="15" bestFit="1" customWidth="1"/>
    <col min="50" max="50" width="5" style="15" bestFit="1" customWidth="1"/>
    <col min="51" max="51" width="4.7265625" style="15" bestFit="1" customWidth="1"/>
    <col min="52" max="52" width="5" style="15" bestFit="1" customWidth="1"/>
    <col min="53" max="53" width="5.1796875" style="15" bestFit="1" customWidth="1"/>
    <col min="54" max="54" width="5" style="15" bestFit="1" customWidth="1"/>
    <col min="55" max="55" width="5.1796875" style="15" bestFit="1" customWidth="1"/>
    <col min="56" max="56" width="6" style="15" bestFit="1" customWidth="1"/>
    <col min="57" max="57" width="6.1796875" style="15" customWidth="1"/>
    <col min="58" max="58" width="6" style="15" bestFit="1" customWidth="1"/>
    <col min="59" max="59" width="6.1796875" style="15" bestFit="1" customWidth="1"/>
    <col min="60" max="60" width="10" style="15" bestFit="1" customWidth="1"/>
    <col min="61" max="61" width="7.7265625" style="15" bestFit="1" customWidth="1"/>
    <col min="62" max="62" width="9" style="15" bestFit="1" customWidth="1"/>
    <col min="63" max="63" width="5.81640625" style="15" bestFit="1" customWidth="1"/>
    <col min="64" max="64" width="4.54296875" style="15" bestFit="1" customWidth="1"/>
    <col min="65" max="65" width="4.7265625" style="15" bestFit="1" customWidth="1"/>
    <col min="66" max="66" width="11.1796875" style="15" bestFit="1" customWidth="1"/>
    <col min="67" max="67" width="9.26953125" style="15" bestFit="1" customWidth="1"/>
    <col min="68" max="76" width="11.453125" style="15"/>
    <col min="77" max="77" width="17.1796875" style="15" customWidth="1"/>
    <col min="78" max="83" width="11.453125" style="15"/>
    <col min="84" max="84" width="14.26953125" style="15" customWidth="1"/>
    <col min="85" max="16384" width="11.453125" style="15"/>
  </cols>
  <sheetData>
    <row r="1" spans="1:89" s="3" customFormat="1" ht="13" x14ac:dyDescent="0.3">
      <c r="A1" s="1">
        <v>46266</v>
      </c>
      <c r="B1" s="2">
        <v>2</v>
      </c>
      <c r="C1" s="2">
        <v>4</v>
      </c>
      <c r="D1" s="2">
        <v>3</v>
      </c>
      <c r="I1" s="123"/>
      <c r="J1" s="123"/>
      <c r="K1" s="59"/>
      <c r="L1" s="127" t="s">
        <v>0</v>
      </c>
      <c r="M1" s="127" t="s">
        <v>1</v>
      </c>
      <c r="N1" s="127" t="s">
        <v>2</v>
      </c>
      <c r="O1" s="127" t="s">
        <v>3</v>
      </c>
      <c r="P1" s="127" t="s">
        <v>4</v>
      </c>
      <c r="Q1" s="128" t="s">
        <v>5</v>
      </c>
      <c r="R1" s="128" t="s">
        <v>6</v>
      </c>
      <c r="S1" s="128" t="s">
        <v>7</v>
      </c>
      <c r="T1" s="128" t="s">
        <v>8</v>
      </c>
      <c r="U1" s="128" t="s">
        <v>9</v>
      </c>
      <c r="V1" s="128" t="s">
        <v>10</v>
      </c>
      <c r="W1" s="127" t="s">
        <v>11</v>
      </c>
      <c r="X1" s="127" t="s">
        <v>12</v>
      </c>
      <c r="Y1" s="127" t="s">
        <v>13</v>
      </c>
      <c r="Z1" s="127" t="s">
        <v>14</v>
      </c>
      <c r="AA1" s="129" t="s">
        <v>15</v>
      </c>
      <c r="AB1" s="129" t="s">
        <v>16</v>
      </c>
      <c r="AC1" s="129" t="s">
        <v>17</v>
      </c>
      <c r="AD1" s="129" t="s">
        <v>18</v>
      </c>
      <c r="AE1" s="128" t="s">
        <v>19</v>
      </c>
      <c r="AF1" s="128" t="s">
        <v>20</v>
      </c>
      <c r="AG1" s="129" t="s">
        <v>21</v>
      </c>
      <c r="AH1" s="129" t="s">
        <v>22</v>
      </c>
      <c r="AI1" s="128" t="s">
        <v>23</v>
      </c>
      <c r="AJ1" s="128" t="s">
        <v>24</v>
      </c>
      <c r="AK1" s="128" t="s">
        <v>25</v>
      </c>
      <c r="AL1" s="128" t="s">
        <v>26</v>
      </c>
      <c r="AM1" s="127" t="s">
        <v>27</v>
      </c>
      <c r="AN1" s="129" t="s">
        <v>28</v>
      </c>
      <c r="AO1" s="129" t="s">
        <v>29</v>
      </c>
      <c r="AP1" s="129" t="s">
        <v>30</v>
      </c>
      <c r="AQ1" s="129" t="s">
        <v>31</v>
      </c>
      <c r="AR1" s="129" t="s">
        <v>32</v>
      </c>
      <c r="AS1" s="129" t="s">
        <v>33</v>
      </c>
      <c r="AT1" s="129" t="s">
        <v>34</v>
      </c>
      <c r="AU1" s="129" t="s">
        <v>35</v>
      </c>
      <c r="AV1" s="129" t="s">
        <v>36</v>
      </c>
      <c r="AW1" s="129" t="s">
        <v>37</v>
      </c>
      <c r="AX1" s="129" t="s">
        <v>38</v>
      </c>
      <c r="AY1" s="129" t="s">
        <v>39</v>
      </c>
      <c r="AZ1" s="128" t="s">
        <v>40</v>
      </c>
      <c r="BA1" s="128" t="s">
        <v>41</v>
      </c>
      <c r="BB1" s="128" t="s">
        <v>42</v>
      </c>
      <c r="BC1" s="128" t="s">
        <v>43</v>
      </c>
      <c r="BD1" s="130" t="s">
        <v>44</v>
      </c>
      <c r="BE1" s="130" t="s">
        <v>45</v>
      </c>
      <c r="BF1" s="130" t="s">
        <v>46</v>
      </c>
      <c r="BG1" s="130" t="s">
        <v>47</v>
      </c>
      <c r="BH1" s="130" t="s">
        <v>48</v>
      </c>
      <c r="BI1" s="129" t="s">
        <v>49</v>
      </c>
      <c r="BJ1" s="129" t="s">
        <v>50</v>
      </c>
      <c r="BK1" s="129" t="s">
        <v>51</v>
      </c>
      <c r="BL1" s="129" t="s">
        <v>52</v>
      </c>
      <c r="BM1" s="127" t="s">
        <v>53</v>
      </c>
      <c r="BN1" s="127" t="s">
        <v>54</v>
      </c>
      <c r="BO1" s="127" t="s">
        <v>55</v>
      </c>
      <c r="BP1" s="127" t="s">
        <v>56</v>
      </c>
      <c r="BQ1" s="127" t="s">
        <v>57</v>
      </c>
      <c r="BR1" s="127" t="s">
        <v>58</v>
      </c>
      <c r="BS1" s="131" t="s">
        <v>59</v>
      </c>
      <c r="BT1" s="127" t="s">
        <v>60</v>
      </c>
      <c r="BU1" s="123"/>
      <c r="BV1" s="123"/>
      <c r="BW1" s="123"/>
      <c r="BX1" s="123"/>
      <c r="BY1" s="123"/>
      <c r="BZ1" s="123"/>
      <c r="CA1" s="123"/>
      <c r="CB1" s="123"/>
      <c r="CC1" s="123"/>
      <c r="CD1" s="123"/>
      <c r="CE1" s="123"/>
      <c r="CF1" s="123"/>
      <c r="CG1" s="123"/>
      <c r="CH1" s="123"/>
      <c r="CI1" s="123"/>
      <c r="CJ1" s="123"/>
      <c r="CK1" s="123"/>
    </row>
    <row r="2" spans="1:89" s="3" customFormat="1" ht="13" x14ac:dyDescent="0.3">
      <c r="I2" s="123"/>
      <c r="J2" s="123"/>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123"/>
      <c r="BV2" s="123"/>
      <c r="BW2" s="123"/>
      <c r="BX2" s="123"/>
      <c r="BY2" s="123"/>
      <c r="BZ2" s="123"/>
      <c r="CA2" s="123"/>
      <c r="CB2" s="123"/>
      <c r="CC2" s="123"/>
      <c r="CD2" s="123"/>
      <c r="CE2" s="123"/>
      <c r="CF2" s="123"/>
      <c r="CG2" s="123"/>
      <c r="CH2" s="123"/>
      <c r="CI2" s="123"/>
      <c r="CJ2" s="123"/>
      <c r="CK2" s="123"/>
    </row>
    <row r="3" spans="1:89" s="3" customFormat="1" ht="13" x14ac:dyDescent="0.3">
      <c r="H3" s="123"/>
      <c r="I3" s="123"/>
      <c r="J3" s="123"/>
      <c r="K3" s="59"/>
      <c r="L3" s="141" t="str">
        <f>$B$157</f>
        <v>EE104-4</v>
      </c>
      <c r="M3" s="141"/>
      <c r="N3" s="141" t="str">
        <f>B156</f>
        <v>BOGOTA</v>
      </c>
      <c r="O3" s="141" t="s">
        <v>262</v>
      </c>
      <c r="P3" s="141">
        <v>4</v>
      </c>
      <c r="Q3" s="141">
        <f>IF($D$25=0,"sd",IF($D$25=" ","sd",$D$25))</f>
        <v>6.78</v>
      </c>
      <c r="R3" s="141">
        <f>IF($D$26=0,"sd",IF($D$26=" ","sd",$D$26))</f>
        <v>6.51</v>
      </c>
      <c r="S3" s="141">
        <f>IF($D$27=0,"sd",IF($D$27=" ","sd",$D$27))</f>
        <v>5.93</v>
      </c>
      <c r="T3" s="141">
        <f>IF($D$28=0,"sd",IF($D$28=" ","sd",$D$28))</f>
        <v>5.62</v>
      </c>
      <c r="U3" s="141">
        <f>IF($D$29=0,"sd",IF($D$29=" ","sd",$D$29))</f>
        <v>4</v>
      </c>
      <c r="V3" s="141">
        <f>IF($D$30=0,"sd",IF($D$30=" ","sd",$D$30))</f>
        <v>3</v>
      </c>
      <c r="W3" s="142">
        <f>IF($D$35=0,"sd",IF($D$35=" ","sd",$D$35))</f>
        <v>15.05</v>
      </c>
      <c r="X3" s="142">
        <f>IF($D$36=0,"sd",IF($D$36=" ","sd",$D$36))</f>
        <v>8.74</v>
      </c>
      <c r="Y3" s="141">
        <f>IF($D$46="X",1,IF($E$46="X",-1,IF($F$46="X",0,IF($G$46="X",2,"sd"))))</f>
        <v>0</v>
      </c>
      <c r="Z3" s="141">
        <f>IF($D$54="X",1,IF($E$54="X",-1,IF($F$54="X",0,IF($G$54="X",2,"sd"))))</f>
        <v>1</v>
      </c>
      <c r="AA3" s="143">
        <f>IF($D$74=0,"sd",IF($D$74=" ","sd",$D$74))</f>
        <v>3650</v>
      </c>
      <c r="AB3" s="142">
        <f>IF($D$75=0,"sd",IF($D$75=" ","sd",$D$75))</f>
        <v>3700</v>
      </c>
      <c r="AC3" s="142">
        <f>IF($D$76=0,"sd",IF($D$76=" ","sd",$D$76))</f>
        <v>3800</v>
      </c>
      <c r="AD3" s="142">
        <f>IF($D$77=0,"sd",IF($D$77=" ","sd",$D$77))</f>
        <v>3650</v>
      </c>
      <c r="AE3" s="141">
        <f>IF($D$87=" ","sd",$D$87)</f>
        <v>2.6</v>
      </c>
      <c r="AF3" s="141">
        <f>IF($D$88=" ","sd",$D$88)</f>
        <v>2.4</v>
      </c>
      <c r="AG3" s="142">
        <f>IF($D$94="X",1,IF($E$94="X",-1,IF($F$94="X",0,IF($G$94="X",2,"sd"))))</f>
        <v>0</v>
      </c>
      <c r="AH3" s="142">
        <f>IF($D$95="X",1,IF($E$95="X",-1,IF($F$95="X",0,IF($G$95="X",2,"sd"))))</f>
        <v>1</v>
      </c>
      <c r="AI3" s="141">
        <f>IF($D$65=0,"sd",IF($D$65=" ","sd",$D$65))</f>
        <v>10.52</v>
      </c>
      <c r="AJ3" s="141">
        <f>IF($D$66=0,"sd",IF($D$66=" ","sd",$D$66))</f>
        <v>11.45</v>
      </c>
      <c r="AK3" s="141">
        <f>IF($D$67=0,"sd",IF($D$67=" ","sd",$D$67))</f>
        <v>12.05</v>
      </c>
      <c r="AL3" s="141">
        <f>IF($D$68=0,"sd",IF($D$68=" ","sd",$D$68))</f>
        <v>12</v>
      </c>
      <c r="AM3" s="142">
        <f>IF($D$101="X",0,IF($D$102="X",1,IF($D$103="X",2,IF($D$104="X",3,IF($D$105="X",4,IF($D$106="X",5,"sd"))))))</f>
        <v>3</v>
      </c>
      <c r="AN3" s="141">
        <f>IF($D113="X",0,IF($E113="X",1,IF($F113="X",2,IF($G113="X",3,"sd"))))</f>
        <v>3</v>
      </c>
      <c r="AO3" s="141">
        <f>IF($D114="X",0,IF($E114="X",1,IF($F114="X",2,IF($G114="X",3,"sd"))))</f>
        <v>3</v>
      </c>
      <c r="AP3" s="141">
        <f>IF($D115="X",0,IF($E115="X",1,IF($F115="X",2,IF($G115="X",3,"sd"))))</f>
        <v>3</v>
      </c>
      <c r="AQ3" s="141">
        <f>IF($D116="X",0,IF($E116="X",1,IF($F116="X",2,IF($G116="X",3,"sd"))))</f>
        <v>3</v>
      </c>
      <c r="AR3" s="141">
        <f>IF($D117="X",0,IF($E117="X",1,IF($F117="X",2,IF($G117="X",3,"sd"))))</f>
        <v>1</v>
      </c>
      <c r="AS3" s="141">
        <f>IF($D118="X",0,IF($E118="X",1,IF($F118="X",2,IF($G118="X",3,"sd"))))</f>
        <v>2</v>
      </c>
      <c r="AT3" s="141">
        <f>IF($D119="X",0,IF($E119="X",1,IF($F119="X",2,IF($G119="X",3,"sd"))))</f>
        <v>2</v>
      </c>
      <c r="AU3" s="141">
        <f>IF($D120="X",0,IF($E120="X",1,IF($F120="X",2,IF($G120="X",3,"sd"))))</f>
        <v>1</v>
      </c>
      <c r="AV3" s="141">
        <f>IF($D121="X",0,IF($E121="X",1,IF($F121="X",2,IF($G121="X",3,"sd"))))</f>
        <v>1</v>
      </c>
      <c r="AW3" s="141">
        <f>IF($D122="X",0,IF($E122="X",1,IF($F122="X",2,IF($G122="X",3,"sd"))))</f>
        <v>3</v>
      </c>
      <c r="AX3" s="141">
        <f>IF($D123="X",0,IF($E123="X",1,IF($F123="X",2,IF($G123="X",3,"sd"))))</f>
        <v>3</v>
      </c>
      <c r="AY3" s="141">
        <f>IF($D124="X",0,IF($E124="X",1,IF($F124="X",2,IF($G124="X",3,"sd"))))</f>
        <v>3</v>
      </c>
      <c r="AZ3" s="141">
        <f>IF($D$129=0,"sd",IF($D$129=" ","sd",$D$129))</f>
        <v>7</v>
      </c>
      <c r="BA3" s="141">
        <f>IF($D$130=0,"sd",IF($D$130=" ","sd",$D$130))</f>
        <v>6</v>
      </c>
      <c r="BB3" s="141">
        <f>IF($D$135=0,"sd",IF($D$135=" ","sd",$D$135))</f>
        <v>7</v>
      </c>
      <c r="BC3" s="141">
        <f>IF($D$136=0,"sd",IF($D$136=" ","sd",$D$136))</f>
        <v>6</v>
      </c>
      <c r="BD3" s="141" t="s">
        <v>61</v>
      </c>
      <c r="BE3" s="141" t="s">
        <v>61</v>
      </c>
      <c r="BF3" s="141" t="s">
        <v>61</v>
      </c>
      <c r="BG3" s="141" t="s">
        <v>61</v>
      </c>
      <c r="BH3" s="141" t="s">
        <v>61</v>
      </c>
      <c r="BI3" s="142">
        <f>IF($D$144="X",1,IF($E$144="X",0,"sd"))</f>
        <v>0</v>
      </c>
      <c r="BJ3" s="142">
        <f>IF($D$145="X",1,IF($E$145="X",0,"sd"))</f>
        <v>1</v>
      </c>
      <c r="BK3" s="142">
        <f>IF($D$146="X",1,IF($E$146="X",0,"sd"))</f>
        <v>1</v>
      </c>
      <c r="BL3" s="142">
        <f>IF($E$148="X",1,IF($G$148="X",2,IF($E$149="X",3,IF($G$149="X",4,"sd"))))</f>
        <v>3</v>
      </c>
      <c r="BM3" s="144" t="str">
        <f>$B$153</f>
        <v>ALMAVIVA</v>
      </c>
      <c r="BN3" s="144" t="str">
        <f>$E$153</f>
        <v>JEFE DE CONTABILIDAD</v>
      </c>
      <c r="BO3" s="144" t="str">
        <f>$B$154</f>
        <v>ALMAVIVA</v>
      </c>
      <c r="BP3" s="144" t="str">
        <f>$E$154</f>
        <v>MADAZAT@ALMAVIVA.COM.CO</v>
      </c>
      <c r="BQ3" s="144">
        <f>$E$155</f>
        <v>3112363116</v>
      </c>
      <c r="BR3" s="144" t="str">
        <f>$B$155</f>
        <v>Kr 13A 35 38 Ps 11</v>
      </c>
      <c r="BS3" s="145">
        <f>$E$157</f>
        <v>46308</v>
      </c>
      <c r="BT3" s="141" t="s">
        <v>62</v>
      </c>
      <c r="BU3" s="123"/>
      <c r="BV3" s="123"/>
      <c r="BW3" s="123"/>
      <c r="BX3" s="123"/>
      <c r="BY3" s="123"/>
      <c r="BZ3" s="123"/>
      <c r="CA3" s="123"/>
      <c r="CB3" s="123"/>
      <c r="CC3" s="123"/>
      <c r="CD3" s="123"/>
      <c r="CE3" s="123"/>
      <c r="CF3" s="123"/>
      <c r="CG3" s="123"/>
      <c r="CH3" s="123"/>
      <c r="CI3" s="123"/>
      <c r="CJ3" s="123"/>
      <c r="CK3" s="123"/>
    </row>
    <row r="4" spans="1:89" s="3" customFormat="1" ht="15.5" x14ac:dyDescent="0.35">
      <c r="A4" s="4"/>
      <c r="B4" s="4"/>
      <c r="C4" s="4"/>
      <c r="D4" s="4"/>
      <c r="E4" s="4"/>
      <c r="F4" s="4"/>
      <c r="G4" s="4"/>
      <c r="H4" s="123"/>
      <c r="I4" s="123"/>
      <c r="J4" s="14"/>
      <c r="K4" s="25"/>
      <c r="L4" s="59"/>
      <c r="M4" s="59"/>
      <c r="N4" s="59"/>
      <c r="O4" s="59"/>
      <c r="P4" s="59"/>
      <c r="Q4" s="59"/>
      <c r="R4" s="59"/>
      <c r="S4" s="59"/>
      <c r="T4" s="59"/>
      <c r="U4" s="59"/>
      <c r="V4" s="59"/>
      <c r="W4" s="59"/>
      <c r="X4" s="59"/>
      <c r="Y4" s="124"/>
      <c r="Z4" s="125"/>
      <c r="AA4" s="59"/>
      <c r="AB4" s="123"/>
      <c r="AC4" s="123"/>
      <c r="AD4" s="123"/>
      <c r="AE4" s="123"/>
      <c r="AF4" s="123"/>
      <c r="AG4" s="123"/>
      <c r="AH4" s="123"/>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123"/>
      <c r="CH4" s="123"/>
      <c r="CI4" s="123"/>
      <c r="CJ4" s="123"/>
      <c r="CK4" s="123"/>
    </row>
    <row r="5" spans="1:89" s="3" customFormat="1" ht="15.5" x14ac:dyDescent="0.35">
      <c r="A5" s="4"/>
      <c r="B5" s="4"/>
      <c r="C5" s="4"/>
      <c r="D5" s="4"/>
      <c r="E5" s="4"/>
      <c r="F5" s="4"/>
      <c r="G5" s="4"/>
      <c r="H5" s="123"/>
      <c r="I5" s="123"/>
      <c r="J5" s="14"/>
      <c r="K5" s="25"/>
      <c r="L5" s="123"/>
      <c r="M5" s="123"/>
      <c r="N5" s="123"/>
      <c r="O5" s="123"/>
      <c r="P5" s="123"/>
      <c r="Q5" s="123"/>
      <c r="R5" s="123"/>
      <c r="S5" s="123"/>
      <c r="T5" s="123"/>
      <c r="U5" s="123"/>
      <c r="V5" s="123"/>
      <c r="W5" s="123"/>
      <c r="X5" s="123"/>
      <c r="Y5" s="126"/>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row>
    <row r="6" spans="1:89" s="7" customFormat="1" ht="15.5" x14ac:dyDescent="0.35">
      <c r="A6" s="6" t="s">
        <v>63</v>
      </c>
      <c r="B6" s="6"/>
      <c r="C6" s="6"/>
      <c r="D6" s="6"/>
      <c r="E6" s="6"/>
      <c r="F6" s="6"/>
      <c r="G6" s="6"/>
      <c r="H6" s="123"/>
      <c r="I6" s="123"/>
      <c r="J6" s="14"/>
      <c r="K6" s="25"/>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row>
    <row r="7" spans="1:89" s="7" customFormat="1" ht="17.5" x14ac:dyDescent="0.35">
      <c r="A7" s="9" t="s">
        <v>64</v>
      </c>
      <c r="B7" s="9"/>
      <c r="C7" s="9"/>
      <c r="D7" s="9"/>
      <c r="E7" s="9"/>
      <c r="F7" s="9"/>
      <c r="G7" s="9"/>
      <c r="H7" s="10"/>
      <c r="J7" s="11"/>
      <c r="K7" s="8"/>
    </row>
    <row r="8" spans="1:89" ht="15.5" x14ac:dyDescent="0.35">
      <c r="A8" s="12" t="s">
        <v>65</v>
      </c>
      <c r="B8" s="13"/>
      <c r="C8" s="13"/>
      <c r="D8" s="13"/>
      <c r="E8" s="13"/>
      <c r="F8" s="13"/>
      <c r="G8" s="13"/>
      <c r="H8" s="7"/>
      <c r="I8" s="7"/>
      <c r="J8" s="13"/>
      <c r="K8" s="14"/>
    </row>
    <row r="9" spans="1:89" x14ac:dyDescent="0.25">
      <c r="H9" s="7"/>
      <c r="I9" s="7"/>
    </row>
    <row r="10" spans="1:89" ht="20" x14ac:dyDescent="0.4">
      <c r="A10" s="16"/>
      <c r="B10" s="16"/>
      <c r="C10" s="16"/>
      <c r="D10" s="17" t="s">
        <v>66</v>
      </c>
      <c r="F10" s="18"/>
      <c r="G10" s="19"/>
      <c r="H10" s="7"/>
      <c r="I10" s="7"/>
      <c r="J10" s="16"/>
      <c r="K10" s="14"/>
    </row>
    <row r="11" spans="1:89" ht="15.5" x14ac:dyDescent="0.35">
      <c r="A11" s="14"/>
      <c r="B11" s="14"/>
      <c r="C11" s="14"/>
      <c r="D11" s="14"/>
      <c r="E11" s="14"/>
      <c r="F11" s="14"/>
      <c r="G11" s="14"/>
      <c r="H11" s="7"/>
      <c r="I11" s="7"/>
      <c r="J11" s="14"/>
      <c r="K11" s="14"/>
    </row>
    <row r="12" spans="1:89" ht="15.5" x14ac:dyDescent="0.35">
      <c r="A12" s="20" t="s">
        <v>67</v>
      </c>
      <c r="B12" s="21"/>
      <c r="C12" s="14"/>
      <c r="D12" s="20" t="s">
        <v>165</v>
      </c>
      <c r="F12" s="20" t="s">
        <v>68</v>
      </c>
      <c r="G12" s="21" t="s">
        <v>69</v>
      </c>
      <c r="H12" s="7"/>
      <c r="I12" s="7"/>
      <c r="K12" s="14"/>
    </row>
    <row r="13" spans="1:89" ht="15.5" x14ac:dyDescent="0.35">
      <c r="A13" s="20" t="s">
        <v>70</v>
      </c>
      <c r="B13" s="22" t="s">
        <v>71</v>
      </c>
      <c r="C13" s="14"/>
      <c r="D13" s="20" t="s">
        <v>166</v>
      </c>
      <c r="G13" s="16"/>
      <c r="H13" s="7"/>
      <c r="I13" s="7"/>
      <c r="K13" s="14"/>
    </row>
    <row r="14" spans="1:89" ht="15.5" x14ac:dyDescent="0.35">
      <c r="A14" s="14"/>
      <c r="B14" s="14"/>
      <c r="C14" s="14"/>
      <c r="D14" s="14"/>
      <c r="E14" s="14"/>
      <c r="F14" s="14"/>
      <c r="G14" s="14"/>
      <c r="H14" s="7"/>
      <c r="I14" s="7"/>
      <c r="J14" s="14"/>
      <c r="K14" s="14"/>
    </row>
    <row r="15" spans="1:89" ht="18" x14ac:dyDescent="0.4">
      <c r="A15" s="23" t="s">
        <v>167</v>
      </c>
      <c r="B15" s="24"/>
      <c r="C15" s="24"/>
      <c r="D15" s="24"/>
      <c r="E15" s="24"/>
      <c r="F15" s="24"/>
      <c r="G15" s="24"/>
      <c r="H15" s="7"/>
      <c r="I15" s="7"/>
      <c r="J15" s="14"/>
      <c r="K15" s="14"/>
    </row>
    <row r="16" spans="1:89" ht="15.5" x14ac:dyDescent="0.35">
      <c r="A16" s="25" t="s">
        <v>72</v>
      </c>
      <c r="B16" s="14"/>
      <c r="C16" s="14"/>
      <c r="D16" s="14"/>
      <c r="E16" s="14"/>
      <c r="F16" s="14"/>
      <c r="G16" s="14"/>
      <c r="H16" s="7"/>
      <c r="I16" s="7"/>
      <c r="J16" s="14"/>
      <c r="K16" s="14"/>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row>
    <row r="17" spans="1:84" ht="15.5" x14ac:dyDescent="0.35">
      <c r="A17" s="20" t="s">
        <v>168</v>
      </c>
      <c r="B17" s="21"/>
      <c r="C17" s="21"/>
      <c r="D17" s="21"/>
      <c r="E17" s="21"/>
      <c r="F17" s="21"/>
      <c r="G17" s="21"/>
      <c r="H17" s="7"/>
      <c r="I17" s="7"/>
      <c r="J17" s="14"/>
      <c r="K17" s="14"/>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row>
    <row r="18" spans="1:84" ht="15.5" x14ac:dyDescent="0.35">
      <c r="A18" s="21" t="s">
        <v>169</v>
      </c>
      <c r="B18" s="21"/>
      <c r="C18" s="21"/>
      <c r="D18" s="21"/>
      <c r="E18" s="21"/>
      <c r="F18" s="21"/>
      <c r="G18" s="21"/>
      <c r="H18" s="7"/>
      <c r="I18" s="7"/>
      <c r="J18" s="14"/>
      <c r="K18" s="14"/>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row>
    <row r="19" spans="1:84" ht="15.5" x14ac:dyDescent="0.35">
      <c r="A19" s="20" t="s">
        <v>170</v>
      </c>
      <c r="B19" s="21"/>
      <c r="C19" s="21"/>
      <c r="D19" s="26">
        <v>6.2454467183256979E-2</v>
      </c>
      <c r="E19" s="27"/>
      <c r="F19" s="27"/>
      <c r="G19" s="21"/>
      <c r="H19" s="7"/>
      <c r="I19" s="7"/>
      <c r="J19" s="14"/>
      <c r="K19" s="14"/>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row>
    <row r="20" spans="1:84" s="3" customFormat="1" ht="15.5" x14ac:dyDescent="0.35">
      <c r="A20" s="4" t="s">
        <v>73</v>
      </c>
      <c r="B20" s="14"/>
      <c r="C20" s="14"/>
      <c r="D20" s="14"/>
      <c r="E20" s="28"/>
      <c r="F20" s="14"/>
      <c r="G20" s="14"/>
      <c r="H20" s="7"/>
      <c r="I20" s="7"/>
      <c r="J20" s="14"/>
      <c r="K20" s="4"/>
      <c r="L20" s="15"/>
    </row>
    <row r="21" spans="1:84" ht="15.5" x14ac:dyDescent="0.35">
      <c r="A21" s="25" t="s">
        <v>171</v>
      </c>
      <c r="B21" s="14"/>
      <c r="C21" s="14"/>
      <c r="D21" s="14"/>
      <c r="E21" s="14"/>
      <c r="F21" s="14"/>
      <c r="G21" s="14"/>
      <c r="H21" s="7"/>
      <c r="I21" s="7"/>
      <c r="J21" s="14"/>
      <c r="K21" s="14"/>
    </row>
    <row r="22" spans="1:84" ht="15.5" x14ac:dyDescent="0.35">
      <c r="A22" s="25"/>
      <c r="B22" s="14"/>
      <c r="C22" s="14"/>
      <c r="D22" s="14"/>
      <c r="E22" s="14"/>
      <c r="F22" s="14"/>
      <c r="G22" s="14"/>
      <c r="H22" s="7"/>
      <c r="I22" s="7"/>
      <c r="J22" s="29"/>
      <c r="K22" s="14"/>
    </row>
    <row r="23" spans="1:84" ht="15.5" x14ac:dyDescent="0.35">
      <c r="A23" s="14"/>
      <c r="B23" s="14"/>
      <c r="C23" s="14"/>
      <c r="D23" s="30" t="s">
        <v>74</v>
      </c>
      <c r="G23" s="14"/>
      <c r="H23" s="7"/>
      <c r="I23" s="7"/>
    </row>
    <row r="24" spans="1:84" ht="15.5" x14ac:dyDescent="0.35">
      <c r="A24" s="14"/>
      <c r="B24" s="14"/>
      <c r="C24" s="14"/>
      <c r="D24" s="31" t="s">
        <v>75</v>
      </c>
      <c r="E24" s="32"/>
      <c r="G24" s="14"/>
      <c r="H24" s="7"/>
      <c r="I24" s="7"/>
    </row>
    <row r="25" spans="1:84" ht="15.5" x14ac:dyDescent="0.35">
      <c r="A25" s="5">
        <v>3</v>
      </c>
      <c r="B25" s="33"/>
      <c r="C25" s="14" t="s">
        <v>172</v>
      </c>
      <c r="D25" s="133">
        <v>6.78</v>
      </c>
      <c r="E25" s="34"/>
      <c r="F25" s="136"/>
      <c r="G25" s="14"/>
      <c r="H25" s="7"/>
      <c r="I25" s="7"/>
    </row>
    <row r="26" spans="1:84" ht="15.5" x14ac:dyDescent="0.35">
      <c r="A26" s="5">
        <v>6</v>
      </c>
      <c r="C26" s="14" t="s">
        <v>173</v>
      </c>
      <c r="D26" s="134">
        <v>6.51</v>
      </c>
      <c r="E26" s="32"/>
      <c r="F26" s="137"/>
      <c r="G26" s="14"/>
      <c r="H26" s="7"/>
      <c r="I26" s="7"/>
    </row>
    <row r="27" spans="1:84" ht="15.5" x14ac:dyDescent="0.35">
      <c r="A27" s="5">
        <v>9</v>
      </c>
      <c r="C27" s="14" t="s">
        <v>174</v>
      </c>
      <c r="D27" s="134">
        <v>5.93</v>
      </c>
      <c r="E27" s="32"/>
      <c r="F27" s="137"/>
      <c r="G27" s="14"/>
      <c r="H27" s="7"/>
      <c r="I27" s="7"/>
    </row>
    <row r="28" spans="1:84" ht="15.5" x14ac:dyDescent="0.35">
      <c r="A28" s="5">
        <v>12</v>
      </c>
      <c r="C28" s="14" t="s">
        <v>175</v>
      </c>
      <c r="D28" s="134">
        <v>5.62</v>
      </c>
      <c r="E28" s="32"/>
      <c r="F28" s="137"/>
      <c r="G28" s="14"/>
      <c r="H28" s="7"/>
      <c r="I28" s="7"/>
    </row>
    <row r="29" spans="1:84" ht="15.5" x14ac:dyDescent="0.35">
      <c r="A29" s="5">
        <v>24</v>
      </c>
      <c r="C29" s="14" t="s">
        <v>176</v>
      </c>
      <c r="D29" s="135">
        <v>4</v>
      </c>
      <c r="E29" s="32"/>
      <c r="F29" s="138"/>
      <c r="G29" s="14"/>
      <c r="H29" s="7"/>
      <c r="I29" s="7"/>
    </row>
    <row r="30" spans="1:84" ht="15.5" x14ac:dyDescent="0.35">
      <c r="A30" s="5">
        <v>60</v>
      </c>
      <c r="C30" s="14" t="s">
        <v>177</v>
      </c>
      <c r="D30" s="135">
        <v>3</v>
      </c>
      <c r="E30" s="32"/>
      <c r="F30" s="138"/>
      <c r="H30" s="7"/>
      <c r="I30" s="7"/>
      <c r="J30" s="14"/>
      <c r="K30" s="14"/>
    </row>
    <row r="31" spans="1:84" ht="15.5" x14ac:dyDescent="0.35">
      <c r="A31" s="14"/>
      <c r="B31" s="14"/>
      <c r="C31" s="14"/>
      <c r="H31" s="7"/>
      <c r="I31" s="7"/>
      <c r="J31" s="14"/>
      <c r="K31" s="14"/>
    </row>
    <row r="32" spans="1:84" ht="15.5" x14ac:dyDescent="0.35">
      <c r="A32" s="25" t="s">
        <v>178</v>
      </c>
      <c r="B32" s="14"/>
      <c r="C32" s="14"/>
      <c r="D32" s="14"/>
      <c r="E32" s="14"/>
      <c r="G32" s="14"/>
      <c r="H32" s="7"/>
      <c r="I32" s="7"/>
      <c r="J32" s="14"/>
      <c r="K32" s="14"/>
    </row>
    <row r="33" spans="1:11" ht="15.5" x14ac:dyDescent="0.35">
      <c r="A33" s="25"/>
      <c r="B33" s="14"/>
      <c r="C33" s="14"/>
      <c r="D33" s="14"/>
      <c r="E33" s="14"/>
      <c r="H33" s="7"/>
      <c r="I33" s="7"/>
      <c r="J33" s="14"/>
      <c r="K33" s="14"/>
    </row>
    <row r="34" spans="1:11" ht="15.5" x14ac:dyDescent="0.35">
      <c r="A34" s="25"/>
      <c r="B34" s="14"/>
      <c r="C34" s="14"/>
      <c r="D34" s="36" t="s">
        <v>76</v>
      </c>
      <c r="E34" s="30" t="s">
        <v>77</v>
      </c>
      <c r="G34" s="14"/>
      <c r="H34" s="7"/>
      <c r="I34" s="7"/>
      <c r="J34" s="14"/>
      <c r="K34" s="14"/>
    </row>
    <row r="35" spans="1:11" ht="15.5" x14ac:dyDescent="0.35">
      <c r="A35" s="25"/>
      <c r="C35" s="14" t="s">
        <v>179</v>
      </c>
      <c r="D35" s="134">
        <v>15.05</v>
      </c>
      <c r="E35" s="35"/>
      <c r="F35" s="37"/>
      <c r="G35" s="137"/>
      <c r="H35" s="7"/>
      <c r="I35" s="7"/>
      <c r="J35" s="14"/>
      <c r="K35" s="14"/>
    </row>
    <row r="36" spans="1:11" ht="15.5" x14ac:dyDescent="0.35">
      <c r="A36" s="25"/>
      <c r="C36" s="14" t="s">
        <v>180</v>
      </c>
      <c r="D36" s="134">
        <v>8.74</v>
      </c>
      <c r="E36" s="38"/>
      <c r="G36" s="137"/>
      <c r="H36" s="7"/>
      <c r="I36" s="7"/>
      <c r="J36" s="14"/>
      <c r="K36" s="14"/>
    </row>
    <row r="37" spans="1:11" ht="15.5" x14ac:dyDescent="0.35">
      <c r="A37" s="25"/>
      <c r="C37" s="14"/>
      <c r="D37" s="16"/>
      <c r="G37" s="14"/>
      <c r="H37" s="7"/>
      <c r="I37" s="7"/>
      <c r="J37" s="14"/>
      <c r="K37" s="14"/>
    </row>
    <row r="38" spans="1:11" ht="15.5" x14ac:dyDescent="0.35">
      <c r="A38" s="20" t="s">
        <v>181</v>
      </c>
      <c r="B38" s="21"/>
      <c r="C38" s="21"/>
      <c r="D38" s="14"/>
      <c r="E38" s="14"/>
      <c r="F38" s="14"/>
      <c r="G38" s="14"/>
      <c r="H38" s="7"/>
      <c r="I38" s="7"/>
      <c r="J38" s="14"/>
      <c r="K38" s="14"/>
    </row>
    <row r="39" spans="1:11" ht="15.5" x14ac:dyDescent="0.35">
      <c r="A39" s="25"/>
      <c r="B39" s="14"/>
      <c r="C39" s="14"/>
      <c r="D39" s="14"/>
      <c r="E39" s="14"/>
      <c r="F39" s="14"/>
      <c r="G39" s="14"/>
      <c r="H39" s="7"/>
      <c r="I39" s="7"/>
      <c r="J39" s="14"/>
      <c r="K39" s="14"/>
    </row>
    <row r="40" spans="1:11" ht="15.5" x14ac:dyDescent="0.35">
      <c r="A40" s="25" t="s">
        <v>182</v>
      </c>
      <c r="B40" s="14"/>
      <c r="C40" s="14"/>
      <c r="D40" s="14"/>
      <c r="E40" s="14"/>
      <c r="F40" s="14"/>
      <c r="G40" s="14"/>
      <c r="H40" s="7"/>
      <c r="I40" s="7"/>
      <c r="J40" s="14"/>
      <c r="K40" s="14"/>
    </row>
    <row r="41" spans="1:11" ht="15.5" x14ac:dyDescent="0.35">
      <c r="A41" s="25"/>
      <c r="B41" s="14"/>
      <c r="C41" s="14"/>
      <c r="D41" s="14"/>
      <c r="E41" s="14"/>
      <c r="F41" s="14"/>
      <c r="G41" s="14"/>
      <c r="H41" s="7"/>
      <c r="I41" s="7"/>
      <c r="J41" s="14"/>
      <c r="K41" s="14"/>
    </row>
    <row r="42" spans="1:11" ht="15.5" x14ac:dyDescent="0.35">
      <c r="A42" s="14"/>
      <c r="B42" s="14"/>
      <c r="C42" s="14"/>
      <c r="D42" s="39" t="s">
        <v>78</v>
      </c>
      <c r="E42" s="40"/>
      <c r="F42" s="40"/>
      <c r="G42" s="40"/>
      <c r="H42" s="7"/>
      <c r="I42" s="7"/>
      <c r="J42" s="40"/>
      <c r="K42" s="14"/>
    </row>
    <row r="43" spans="1:11" ht="15.5" x14ac:dyDescent="0.35">
      <c r="A43" s="25"/>
      <c r="B43" s="14"/>
      <c r="C43" s="14"/>
      <c r="D43" s="41" t="s">
        <v>79</v>
      </c>
      <c r="E43" s="41"/>
      <c r="F43" s="41"/>
      <c r="G43" s="42"/>
      <c r="H43" s="7"/>
      <c r="I43" s="7"/>
      <c r="J43" s="14"/>
      <c r="K43" s="14"/>
    </row>
    <row r="44" spans="1:11" ht="15.5" x14ac:dyDescent="0.35">
      <c r="A44" s="25"/>
      <c r="B44" s="14"/>
      <c r="C44" s="14"/>
      <c r="D44" s="31" t="s">
        <v>80</v>
      </c>
      <c r="E44" s="31" t="s">
        <v>81</v>
      </c>
      <c r="F44" s="31" t="s">
        <v>82</v>
      </c>
      <c r="G44" s="43" t="s">
        <v>83</v>
      </c>
      <c r="H44" s="7"/>
      <c r="I44" s="7"/>
      <c r="J44" s="14"/>
      <c r="K44" s="14"/>
    </row>
    <row r="45" spans="1:11" ht="15.5" x14ac:dyDescent="0.35">
      <c r="A45" s="25"/>
      <c r="B45" s="14"/>
      <c r="C45" s="14"/>
      <c r="D45" s="44"/>
      <c r="E45" s="45"/>
      <c r="F45" s="45" t="s">
        <v>84</v>
      </c>
      <c r="G45" s="46" t="s">
        <v>85</v>
      </c>
      <c r="H45" s="7"/>
      <c r="I45" s="7"/>
      <c r="J45" s="14"/>
      <c r="K45" s="14"/>
    </row>
    <row r="46" spans="1:11" ht="15.5" x14ac:dyDescent="0.35">
      <c r="A46" s="14"/>
      <c r="C46" s="14" t="s">
        <v>86</v>
      </c>
      <c r="D46" s="47"/>
      <c r="E46" s="47"/>
      <c r="F46" s="47" t="s">
        <v>73</v>
      </c>
      <c r="G46" s="48"/>
      <c r="H46" s="7"/>
      <c r="I46" s="7"/>
      <c r="J46" s="14"/>
      <c r="K46" s="14"/>
    </row>
    <row r="47" spans="1:11" ht="15.5" x14ac:dyDescent="0.35">
      <c r="A47" s="14"/>
      <c r="B47" s="14"/>
      <c r="C47" s="14"/>
      <c r="D47" s="14"/>
      <c r="E47" s="14"/>
      <c r="F47" s="16"/>
      <c r="G47" s="16"/>
      <c r="H47" s="7"/>
      <c r="I47" s="7"/>
      <c r="J47" s="14"/>
      <c r="K47" s="14"/>
    </row>
    <row r="48" spans="1:11" ht="15.5" x14ac:dyDescent="0.35">
      <c r="A48" s="14" t="s">
        <v>183</v>
      </c>
      <c r="B48" s="14"/>
      <c r="C48" s="14"/>
      <c r="D48" s="14"/>
      <c r="E48" s="14"/>
      <c r="F48" s="14"/>
      <c r="G48" s="14"/>
      <c r="H48" s="7"/>
      <c r="I48" s="7"/>
      <c r="J48" s="14"/>
      <c r="K48" s="14"/>
    </row>
    <row r="49" spans="1:11" ht="15.5" x14ac:dyDescent="0.35">
      <c r="A49" s="14"/>
      <c r="B49" s="14"/>
      <c r="C49" s="14"/>
      <c r="D49" s="14"/>
      <c r="E49" s="14"/>
      <c r="F49" s="14"/>
      <c r="G49" s="14"/>
      <c r="H49" s="7"/>
      <c r="I49" s="7"/>
      <c r="J49" s="14"/>
      <c r="K49" s="14"/>
    </row>
    <row r="50" spans="1:11" ht="15.5" x14ac:dyDescent="0.35">
      <c r="A50" s="14"/>
      <c r="B50" s="14"/>
      <c r="C50" s="14"/>
      <c r="D50" s="39" t="s">
        <v>78</v>
      </c>
      <c r="E50" s="40"/>
      <c r="F50" s="40"/>
      <c r="G50" s="40"/>
      <c r="H50" s="7"/>
      <c r="I50" s="7"/>
      <c r="J50" s="14"/>
      <c r="K50" s="14"/>
    </row>
    <row r="51" spans="1:11" ht="15.5" x14ac:dyDescent="0.35">
      <c r="A51" s="14"/>
      <c r="B51" s="14"/>
      <c r="C51" s="14"/>
      <c r="D51" s="49" t="s">
        <v>79</v>
      </c>
      <c r="E51" s="50"/>
      <c r="F51" s="41"/>
      <c r="G51" s="42"/>
      <c r="H51" s="7"/>
      <c r="I51" s="7"/>
      <c r="J51" s="14"/>
      <c r="K51" s="14"/>
    </row>
    <row r="52" spans="1:11" ht="15.5" x14ac:dyDescent="0.35">
      <c r="A52" s="25"/>
      <c r="B52" s="14"/>
      <c r="C52" s="14"/>
      <c r="D52" s="51" t="s">
        <v>87</v>
      </c>
      <c r="E52" s="31" t="s">
        <v>88</v>
      </c>
      <c r="F52" s="31" t="s">
        <v>89</v>
      </c>
      <c r="G52" s="43" t="s">
        <v>83</v>
      </c>
      <c r="H52" s="7"/>
      <c r="I52" s="7"/>
      <c r="J52" s="14"/>
      <c r="K52" s="14"/>
    </row>
    <row r="53" spans="1:11" ht="15.5" x14ac:dyDescent="0.35">
      <c r="A53" s="14"/>
      <c r="B53" s="14"/>
      <c r="C53" s="14"/>
      <c r="D53" s="51" t="s">
        <v>90</v>
      </c>
      <c r="E53" s="31" t="s">
        <v>90</v>
      </c>
      <c r="F53" s="31" t="s">
        <v>91</v>
      </c>
      <c r="G53" s="43" t="s">
        <v>85</v>
      </c>
      <c r="H53" s="7"/>
      <c r="I53" s="7"/>
      <c r="J53" s="14"/>
      <c r="K53" s="14"/>
    </row>
    <row r="54" spans="1:11" ht="15.5" x14ac:dyDescent="0.35">
      <c r="A54" s="14"/>
      <c r="C54" s="14" t="s">
        <v>92</v>
      </c>
      <c r="D54" s="52" t="s">
        <v>73</v>
      </c>
      <c r="E54" s="35"/>
      <c r="F54" s="35"/>
      <c r="G54" s="53"/>
      <c r="H54" s="7"/>
      <c r="I54" s="7"/>
      <c r="J54" s="14"/>
      <c r="K54" s="14"/>
    </row>
    <row r="55" spans="1:11" ht="15.5" x14ac:dyDescent="0.35">
      <c r="A55" s="14"/>
      <c r="C55" s="14"/>
      <c r="D55" s="16"/>
      <c r="E55" s="16"/>
      <c r="F55" s="16"/>
      <c r="G55" s="16"/>
      <c r="H55" s="7"/>
      <c r="I55" s="7"/>
      <c r="J55" s="14"/>
      <c r="K55" s="14"/>
    </row>
    <row r="56" spans="1:11" ht="15.5" x14ac:dyDescent="0.35">
      <c r="A56" s="20" t="s">
        <v>184</v>
      </c>
      <c r="B56" s="21"/>
      <c r="C56" s="21"/>
      <c r="D56" s="21"/>
      <c r="E56" s="21"/>
      <c r="F56" s="21"/>
      <c r="G56" s="21"/>
      <c r="H56" s="7"/>
      <c r="I56" s="7"/>
      <c r="J56" s="14"/>
      <c r="K56" s="14"/>
    </row>
    <row r="57" spans="1:11" ht="15.5" x14ac:dyDescent="0.35">
      <c r="A57" s="21" t="s">
        <v>185</v>
      </c>
      <c r="B57" s="21"/>
      <c r="C57" s="21"/>
      <c r="D57" s="21"/>
      <c r="E57" s="21"/>
      <c r="F57" s="21"/>
      <c r="G57" s="21"/>
      <c r="H57" s="7"/>
      <c r="I57" s="7"/>
      <c r="J57" s="14"/>
      <c r="K57" s="14"/>
    </row>
    <row r="58" spans="1:11" ht="15.5" x14ac:dyDescent="0.35">
      <c r="A58" s="21" t="s">
        <v>186</v>
      </c>
      <c r="B58" s="21"/>
      <c r="C58" s="21"/>
      <c r="D58" s="20" t="s">
        <v>187</v>
      </c>
      <c r="E58" s="21"/>
      <c r="F58" s="21"/>
      <c r="G58" s="26">
        <v>0.12243</v>
      </c>
      <c r="H58" s="7"/>
      <c r="I58" s="7"/>
      <c r="J58" s="14"/>
      <c r="K58" s="14"/>
    </row>
    <row r="59" spans="1:11" ht="15.5" x14ac:dyDescent="0.35">
      <c r="A59" s="25"/>
      <c r="B59" s="14"/>
      <c r="C59" s="14"/>
      <c r="D59" s="14"/>
      <c r="E59" s="14"/>
      <c r="F59" s="54"/>
      <c r="G59" s="28"/>
      <c r="H59" s="7"/>
      <c r="I59" s="7"/>
      <c r="J59" s="14"/>
      <c r="K59" s="14"/>
    </row>
    <row r="60" spans="1:11" ht="15.5" x14ac:dyDescent="0.35">
      <c r="A60" s="25" t="s">
        <v>188</v>
      </c>
      <c r="B60" s="14"/>
      <c r="C60" s="14"/>
      <c r="D60" s="14"/>
      <c r="E60" s="14"/>
      <c r="F60" s="14"/>
      <c r="G60" s="14"/>
      <c r="H60" s="7"/>
      <c r="I60" s="7"/>
      <c r="J60" s="14"/>
      <c r="K60" s="14"/>
    </row>
    <row r="61" spans="1:11" ht="15.5" x14ac:dyDescent="0.35">
      <c r="A61" s="14"/>
      <c r="B61" s="14"/>
      <c r="C61" s="14"/>
      <c r="D61" s="14"/>
      <c r="E61" s="14"/>
      <c r="F61" s="14"/>
      <c r="G61" s="14"/>
      <c r="H61" s="7"/>
      <c r="I61" s="7"/>
      <c r="J61" s="14"/>
      <c r="K61" s="14"/>
    </row>
    <row r="62" spans="1:11" ht="15.5" x14ac:dyDescent="0.35">
      <c r="A62" s="14"/>
      <c r="B62" s="14"/>
      <c r="C62" s="14"/>
      <c r="D62" s="16"/>
      <c r="E62" s="16"/>
      <c r="F62" s="16"/>
      <c r="H62" s="7"/>
      <c r="I62" s="7"/>
      <c r="J62" s="14"/>
      <c r="K62" s="14"/>
    </row>
    <row r="63" spans="1:11" ht="15.5" x14ac:dyDescent="0.35">
      <c r="A63" s="14"/>
      <c r="B63" s="14"/>
      <c r="C63" s="14"/>
      <c r="D63" s="30" t="s">
        <v>93</v>
      </c>
      <c r="E63" s="55"/>
      <c r="G63" s="14"/>
      <c r="H63" s="7"/>
      <c r="I63" s="7"/>
    </row>
    <row r="64" spans="1:11" ht="15.5" x14ac:dyDescent="0.35">
      <c r="A64" s="14"/>
      <c r="B64" s="14"/>
      <c r="C64" s="14"/>
      <c r="D64" s="45" t="s">
        <v>94</v>
      </c>
      <c r="E64" s="55"/>
      <c r="G64" s="14"/>
      <c r="H64" s="7"/>
      <c r="I64" s="7"/>
    </row>
    <row r="65" spans="1:11" ht="15.5" x14ac:dyDescent="0.35">
      <c r="A65" s="4"/>
      <c r="C65" s="14" t="s">
        <v>172</v>
      </c>
      <c r="D65" s="35">
        <v>10.52</v>
      </c>
      <c r="E65" s="56"/>
      <c r="G65" s="14"/>
      <c r="H65" s="7"/>
      <c r="I65" s="7"/>
    </row>
    <row r="66" spans="1:11" ht="15.5" x14ac:dyDescent="0.35">
      <c r="A66" s="4">
        <v>6</v>
      </c>
      <c r="C66" s="14" t="s">
        <v>173</v>
      </c>
      <c r="D66" s="35">
        <v>11.45</v>
      </c>
      <c r="E66" s="56"/>
      <c r="G66" s="14"/>
      <c r="H66" s="7"/>
      <c r="I66" s="7"/>
    </row>
    <row r="67" spans="1:11" ht="15.5" x14ac:dyDescent="0.35">
      <c r="A67" s="4">
        <v>9</v>
      </c>
      <c r="C67" s="14" t="s">
        <v>174</v>
      </c>
      <c r="D67" s="35">
        <v>12.05</v>
      </c>
      <c r="E67" s="56"/>
      <c r="G67" s="14"/>
      <c r="H67" s="7"/>
      <c r="I67" s="7"/>
    </row>
    <row r="68" spans="1:11" ht="15.5" x14ac:dyDescent="0.35">
      <c r="A68" s="4">
        <v>12</v>
      </c>
      <c r="C68" s="14" t="s">
        <v>175</v>
      </c>
      <c r="D68" s="35">
        <v>12</v>
      </c>
      <c r="E68" s="56"/>
      <c r="G68" s="14"/>
      <c r="H68" s="7"/>
      <c r="I68" s="7"/>
    </row>
    <row r="69" spans="1:11" ht="15.5" x14ac:dyDescent="0.35">
      <c r="A69" s="25"/>
      <c r="B69" s="14"/>
      <c r="C69" s="14"/>
      <c r="D69" s="14"/>
      <c r="E69" s="14"/>
      <c r="F69" s="14"/>
      <c r="G69" s="14"/>
      <c r="H69" s="7"/>
      <c r="I69" s="7"/>
      <c r="J69" s="14"/>
      <c r="K69" s="14"/>
    </row>
    <row r="70" spans="1:11" ht="15.5" x14ac:dyDescent="0.35">
      <c r="A70" s="25" t="s">
        <v>189</v>
      </c>
      <c r="B70" s="14"/>
      <c r="C70" s="14"/>
      <c r="D70" s="14"/>
      <c r="E70" s="14"/>
      <c r="F70" s="14"/>
      <c r="G70" s="14"/>
      <c r="H70" s="7"/>
      <c r="I70" s="7"/>
      <c r="J70" s="14"/>
      <c r="K70" s="14"/>
    </row>
    <row r="71" spans="1:11" ht="15.5" x14ac:dyDescent="0.35">
      <c r="A71" s="14"/>
      <c r="B71" s="14"/>
      <c r="C71" s="14"/>
      <c r="D71" s="14"/>
      <c r="E71" s="14"/>
      <c r="F71" s="14"/>
      <c r="G71" s="14"/>
      <c r="H71" s="7"/>
      <c r="I71" s="7"/>
      <c r="J71" s="14"/>
      <c r="K71" s="14"/>
    </row>
    <row r="72" spans="1:11" ht="15.5" x14ac:dyDescent="0.35">
      <c r="A72" s="14"/>
      <c r="B72" s="14"/>
      <c r="C72" s="14"/>
      <c r="D72" s="57" t="s">
        <v>95</v>
      </c>
      <c r="E72" s="14"/>
      <c r="F72" s="14"/>
      <c r="H72" s="7"/>
      <c r="I72" s="7"/>
    </row>
    <row r="73" spans="1:11" ht="15.5" x14ac:dyDescent="0.35">
      <c r="A73" s="14"/>
      <c r="B73" s="14"/>
      <c r="C73" s="14"/>
      <c r="D73" s="58" t="s">
        <v>96</v>
      </c>
      <c r="E73" s="14"/>
      <c r="F73" s="14"/>
      <c r="H73" s="7"/>
      <c r="I73" s="7"/>
    </row>
    <row r="74" spans="1:11" ht="15.5" x14ac:dyDescent="0.35">
      <c r="A74" s="14"/>
      <c r="C74" s="14" t="s">
        <v>172</v>
      </c>
      <c r="D74" s="47">
        <v>3650</v>
      </c>
      <c r="E74" s="56"/>
      <c r="F74" s="14"/>
      <c r="H74" s="7"/>
      <c r="I74" s="7"/>
    </row>
    <row r="75" spans="1:11" ht="15.5" x14ac:dyDescent="0.35">
      <c r="A75" s="14"/>
      <c r="C75" s="14" t="s">
        <v>173</v>
      </c>
      <c r="D75" s="35">
        <v>3700</v>
      </c>
      <c r="E75" s="56"/>
      <c r="F75" s="14"/>
      <c r="H75" s="7"/>
      <c r="I75" s="7"/>
    </row>
    <row r="76" spans="1:11" ht="15.5" x14ac:dyDescent="0.35">
      <c r="A76" s="14"/>
      <c r="C76" s="14" t="s">
        <v>174</v>
      </c>
      <c r="D76" s="35">
        <v>3800</v>
      </c>
      <c r="E76" s="56"/>
      <c r="F76" s="14"/>
      <c r="H76" s="7"/>
      <c r="I76" s="7"/>
    </row>
    <row r="77" spans="1:11" ht="15.5" x14ac:dyDescent="0.35">
      <c r="A77" s="14"/>
      <c r="C77" s="14" t="s">
        <v>175</v>
      </c>
      <c r="D77" s="35">
        <v>3650</v>
      </c>
      <c r="E77" s="56"/>
      <c r="F77" s="14"/>
      <c r="H77" s="7"/>
      <c r="I77" s="7"/>
    </row>
    <row r="78" spans="1:11" ht="15.5" x14ac:dyDescent="0.35">
      <c r="A78" s="14"/>
      <c r="B78" s="14"/>
      <c r="C78" s="14"/>
      <c r="D78" s="14"/>
      <c r="E78" s="14"/>
      <c r="F78" s="14"/>
      <c r="G78" s="14"/>
      <c r="H78" s="7"/>
      <c r="I78" s="7"/>
      <c r="J78" s="14"/>
      <c r="K78" s="14"/>
    </row>
    <row r="79" spans="1:11" ht="15.5" x14ac:dyDescent="0.35">
      <c r="A79" s="20" t="s">
        <v>190</v>
      </c>
      <c r="B79" s="21"/>
      <c r="C79" s="21"/>
      <c r="D79" s="21"/>
      <c r="E79" s="21"/>
      <c r="F79" s="21"/>
      <c r="G79" s="21"/>
      <c r="H79" s="7"/>
      <c r="I79" s="7"/>
      <c r="J79" s="14"/>
      <c r="K79" s="14"/>
    </row>
    <row r="80" spans="1:11" ht="15.5" x14ac:dyDescent="0.35">
      <c r="A80" s="21" t="s">
        <v>191</v>
      </c>
      <c r="B80" s="21"/>
      <c r="C80" s="21"/>
      <c r="D80" s="21"/>
      <c r="E80" s="21"/>
      <c r="F80" s="21"/>
      <c r="G80" s="21"/>
      <c r="H80" s="7"/>
      <c r="I80" s="7"/>
      <c r="J80" s="14"/>
      <c r="K80" s="14"/>
    </row>
    <row r="81" spans="1:11" ht="15.5" x14ac:dyDescent="0.35">
      <c r="A81" s="21" t="s">
        <v>192</v>
      </c>
      <c r="B81" s="21"/>
      <c r="C81" s="21"/>
      <c r="D81" s="21"/>
      <c r="E81" s="21"/>
      <c r="F81" s="21"/>
      <c r="G81" s="21"/>
      <c r="H81" s="7"/>
      <c r="I81" s="7"/>
      <c r="J81" s="14"/>
      <c r="K81" s="14"/>
    </row>
    <row r="82" spans="1:11" ht="15.5" x14ac:dyDescent="0.35">
      <c r="A82" s="25"/>
      <c r="B82" s="14"/>
      <c r="C82" s="14"/>
      <c r="D82" s="14"/>
      <c r="E82" s="14"/>
      <c r="F82" s="14"/>
      <c r="G82" s="14"/>
      <c r="H82" s="7"/>
      <c r="I82" s="7"/>
      <c r="J82" s="14"/>
      <c r="K82" s="14"/>
    </row>
    <row r="83" spans="1:11" ht="15.5" x14ac:dyDescent="0.35">
      <c r="A83" s="25" t="s">
        <v>193</v>
      </c>
      <c r="B83" s="14"/>
      <c r="C83" s="14"/>
      <c r="D83" s="14"/>
      <c r="E83" s="14"/>
      <c r="F83" s="14"/>
      <c r="G83" s="14"/>
      <c r="H83" s="7"/>
      <c r="I83" s="7"/>
      <c r="J83" s="14"/>
      <c r="K83" s="14"/>
    </row>
    <row r="84" spans="1:11" ht="15.5" x14ac:dyDescent="0.35">
      <c r="A84" s="25"/>
      <c r="B84" s="14"/>
      <c r="C84" s="14"/>
      <c r="D84" s="14"/>
      <c r="E84" s="14"/>
      <c r="F84" s="14"/>
      <c r="G84" s="14"/>
      <c r="H84" s="7"/>
      <c r="I84" s="7"/>
      <c r="J84" s="14"/>
      <c r="K84" s="14"/>
    </row>
    <row r="85" spans="1:11" ht="15.5" x14ac:dyDescent="0.35">
      <c r="A85" s="14"/>
      <c r="B85" s="14"/>
      <c r="C85" s="14"/>
      <c r="D85" s="30" t="s">
        <v>97</v>
      </c>
      <c r="G85" s="14"/>
      <c r="H85" s="7"/>
      <c r="I85" s="7"/>
    </row>
    <row r="86" spans="1:11" ht="15.5" x14ac:dyDescent="0.35">
      <c r="A86" s="14"/>
      <c r="B86" s="14"/>
      <c r="C86" s="14"/>
      <c r="D86" s="45" t="s">
        <v>98</v>
      </c>
      <c r="G86" s="14"/>
      <c r="H86" s="7"/>
      <c r="I86" s="7"/>
    </row>
    <row r="87" spans="1:11" ht="15.5" x14ac:dyDescent="0.35">
      <c r="A87" s="14"/>
      <c r="C87" s="14" t="s">
        <v>179</v>
      </c>
      <c r="D87" s="134">
        <v>2.6</v>
      </c>
      <c r="E87" s="59"/>
      <c r="F87" s="113"/>
      <c r="G87" s="14"/>
      <c r="H87" s="7"/>
      <c r="I87" s="7"/>
    </row>
    <row r="88" spans="1:11" ht="15.5" x14ac:dyDescent="0.35">
      <c r="A88" s="14"/>
      <c r="C88" s="14" t="s">
        <v>180</v>
      </c>
      <c r="D88" s="139">
        <v>2.4</v>
      </c>
      <c r="E88" s="59"/>
      <c r="F88" s="114"/>
      <c r="G88" s="14"/>
      <c r="H88" s="7"/>
      <c r="I88" s="7"/>
    </row>
    <row r="89" spans="1:11" ht="15.5" x14ac:dyDescent="0.35">
      <c r="A89" s="25"/>
      <c r="B89" s="14"/>
      <c r="C89" s="14"/>
      <c r="D89" s="14"/>
      <c r="E89" s="14"/>
      <c r="F89" s="14"/>
      <c r="G89" s="14"/>
      <c r="H89" s="7"/>
      <c r="I89" s="7"/>
      <c r="J89" s="14"/>
      <c r="K89" s="14"/>
    </row>
    <row r="90" spans="1:11" ht="15.5" x14ac:dyDescent="0.35">
      <c r="A90" s="25" t="s">
        <v>194</v>
      </c>
      <c r="B90" s="14"/>
      <c r="C90" s="14"/>
      <c r="D90" s="14"/>
      <c r="E90" s="14"/>
      <c r="F90" s="14"/>
      <c r="G90" s="14"/>
      <c r="H90" s="7"/>
      <c r="I90" s="7"/>
      <c r="J90" s="14"/>
      <c r="K90" s="14"/>
    </row>
    <row r="91" spans="1:11" ht="15.5" x14ac:dyDescent="0.35">
      <c r="A91" s="14"/>
      <c r="B91" s="14"/>
      <c r="C91" s="14"/>
      <c r="D91" s="14"/>
      <c r="E91" s="14"/>
      <c r="F91" s="14"/>
      <c r="G91" s="14"/>
      <c r="H91" s="7"/>
      <c r="I91" s="7"/>
      <c r="J91" s="14"/>
      <c r="K91" s="14"/>
    </row>
    <row r="92" spans="1:11" ht="15.5" x14ac:dyDescent="0.35">
      <c r="A92" s="14"/>
      <c r="B92" s="14"/>
      <c r="C92" s="14"/>
      <c r="D92" s="39" t="s">
        <v>99</v>
      </c>
      <c r="E92" s="40"/>
      <c r="F92" s="40"/>
      <c r="G92" s="40"/>
      <c r="H92" s="7"/>
      <c r="I92" s="7"/>
      <c r="J92" s="14"/>
      <c r="K92" s="14"/>
    </row>
    <row r="93" spans="1:11" ht="15.5" x14ac:dyDescent="0.35">
      <c r="A93" s="14"/>
      <c r="B93" s="14"/>
      <c r="C93" s="14"/>
      <c r="D93" s="60" t="s">
        <v>100</v>
      </c>
      <c r="E93" s="60" t="s">
        <v>101</v>
      </c>
      <c r="F93" s="60" t="s">
        <v>102</v>
      </c>
      <c r="G93" s="60" t="s">
        <v>77</v>
      </c>
      <c r="H93" s="7"/>
      <c r="I93" s="7"/>
      <c r="J93" s="14"/>
      <c r="K93" s="14"/>
    </row>
    <row r="94" spans="1:11" ht="15.5" x14ac:dyDescent="0.35">
      <c r="A94" s="14"/>
      <c r="B94" s="14" t="s">
        <v>195</v>
      </c>
      <c r="C94" s="14"/>
      <c r="D94" s="35"/>
      <c r="E94" s="35"/>
      <c r="F94" s="35" t="s">
        <v>73</v>
      </c>
      <c r="G94" s="35"/>
      <c r="H94" s="7"/>
      <c r="I94" s="7"/>
      <c r="J94" s="14"/>
      <c r="K94" s="14"/>
    </row>
    <row r="95" spans="1:11" ht="15.5" x14ac:dyDescent="0.35">
      <c r="A95" s="14"/>
      <c r="B95" s="14" t="s">
        <v>196</v>
      </c>
      <c r="C95" s="14"/>
      <c r="D95" s="35" t="s">
        <v>73</v>
      </c>
      <c r="E95" s="35"/>
      <c r="F95" s="35"/>
      <c r="G95" s="35"/>
      <c r="H95" s="7"/>
      <c r="I95" s="7"/>
      <c r="J95" s="14"/>
      <c r="K95" s="14"/>
    </row>
    <row r="96" spans="1:11" ht="15.5" x14ac:dyDescent="0.35">
      <c r="A96" s="14"/>
      <c r="B96" s="14"/>
      <c r="C96" s="14"/>
      <c r="D96" s="14"/>
      <c r="E96" s="14"/>
      <c r="F96" s="14"/>
      <c r="G96" s="14"/>
      <c r="H96" s="7"/>
      <c r="I96" s="7"/>
      <c r="J96" s="14"/>
      <c r="K96" s="14"/>
    </row>
    <row r="97" spans="1:11" ht="15.5" x14ac:dyDescent="0.35">
      <c r="A97" s="20" t="s">
        <v>197</v>
      </c>
      <c r="B97" s="21"/>
      <c r="C97" s="21"/>
      <c r="D97" s="14"/>
      <c r="E97" s="14"/>
      <c r="F97" s="14"/>
      <c r="G97" s="14"/>
      <c r="H97" s="7"/>
      <c r="I97" s="7"/>
      <c r="J97" s="14"/>
      <c r="K97" s="14"/>
    </row>
    <row r="98" spans="1:11" ht="15.5" x14ac:dyDescent="0.35">
      <c r="A98" s="25"/>
      <c r="B98" s="14"/>
      <c r="C98" s="14"/>
      <c r="D98" s="14"/>
      <c r="E98" s="14"/>
      <c r="F98" s="14"/>
      <c r="G98" s="14"/>
      <c r="H98" s="7"/>
      <c r="I98" s="7"/>
      <c r="J98" s="14"/>
      <c r="K98" s="14"/>
    </row>
    <row r="99" spans="1:11" ht="15.5" x14ac:dyDescent="0.35">
      <c r="A99" s="61" t="s">
        <v>103</v>
      </c>
      <c r="B99" s="14"/>
      <c r="C99" s="14"/>
      <c r="D99" s="14"/>
      <c r="E99" s="14"/>
      <c r="F99" s="14"/>
      <c r="G99" s="14"/>
      <c r="H99" s="7"/>
      <c r="I99" s="7"/>
      <c r="J99" s="14"/>
      <c r="K99" s="14"/>
    </row>
    <row r="100" spans="1:11" ht="15.5" x14ac:dyDescent="0.35">
      <c r="A100" s="25"/>
      <c r="B100" s="14"/>
      <c r="C100" s="14"/>
      <c r="D100" s="30" t="s">
        <v>104</v>
      </c>
      <c r="E100" s="14"/>
      <c r="F100" s="14"/>
      <c r="G100" s="14"/>
      <c r="H100" s="7"/>
      <c r="I100" s="7"/>
      <c r="J100" s="14"/>
      <c r="K100" s="14"/>
    </row>
    <row r="101" spans="1:11" ht="15.5" x14ac:dyDescent="0.35">
      <c r="A101" s="25"/>
      <c r="B101" s="14"/>
      <c r="C101" s="14" t="s">
        <v>105</v>
      </c>
      <c r="D101" s="62"/>
      <c r="E101" s="14"/>
      <c r="F101" s="14"/>
      <c r="G101" s="14"/>
      <c r="H101" s="7"/>
      <c r="I101" s="7"/>
      <c r="J101" s="14"/>
      <c r="K101" s="14"/>
    </row>
    <row r="102" spans="1:11" ht="15.5" x14ac:dyDescent="0.35">
      <c r="A102" s="25"/>
      <c r="B102" s="14"/>
      <c r="C102" s="14" t="s">
        <v>106</v>
      </c>
      <c r="D102" s="62"/>
      <c r="E102" s="14"/>
      <c r="F102" s="14"/>
      <c r="G102" s="14"/>
      <c r="H102" s="7"/>
      <c r="I102" s="7"/>
      <c r="J102" s="14"/>
      <c r="K102" s="14"/>
    </row>
    <row r="103" spans="1:11" ht="15.5" x14ac:dyDescent="0.35">
      <c r="A103" s="25"/>
      <c r="B103" s="14"/>
      <c r="C103" s="14" t="s">
        <v>107</v>
      </c>
      <c r="D103" s="62"/>
      <c r="E103" s="14"/>
      <c r="F103" s="14"/>
      <c r="G103" s="63"/>
      <c r="H103" s="7"/>
      <c r="I103" s="7"/>
      <c r="J103" s="14"/>
      <c r="K103" s="14"/>
    </row>
    <row r="104" spans="1:11" ht="15.5" x14ac:dyDescent="0.35">
      <c r="A104" s="25"/>
      <c r="B104" s="14"/>
      <c r="C104" s="14" t="s">
        <v>108</v>
      </c>
      <c r="D104" s="62" t="s">
        <v>73</v>
      </c>
      <c r="E104" s="14"/>
      <c r="F104" s="14"/>
      <c r="G104" s="63"/>
      <c r="H104" s="7"/>
      <c r="I104" s="7"/>
      <c r="J104" s="14"/>
      <c r="K104" s="14"/>
    </row>
    <row r="105" spans="1:11" ht="15.5" x14ac:dyDescent="0.35">
      <c r="A105" s="25"/>
      <c r="B105" s="14"/>
      <c r="C105" s="14" t="s">
        <v>109</v>
      </c>
      <c r="D105" s="62"/>
      <c r="E105" s="14"/>
      <c r="F105" s="14"/>
      <c r="G105" s="63"/>
      <c r="H105" s="7"/>
      <c r="I105" s="7"/>
      <c r="J105" s="14"/>
      <c r="K105" s="14"/>
    </row>
    <row r="106" spans="1:11" ht="15.5" x14ac:dyDescent="0.35">
      <c r="A106" s="25"/>
      <c r="B106" s="14"/>
      <c r="C106" s="14" t="s">
        <v>110</v>
      </c>
      <c r="D106" s="35"/>
      <c r="E106" s="14"/>
      <c r="F106" s="14"/>
      <c r="G106" s="63"/>
      <c r="H106" s="7"/>
      <c r="I106" s="7"/>
      <c r="J106" s="14"/>
      <c r="K106" s="14"/>
    </row>
    <row r="107" spans="1:11" ht="15.5" x14ac:dyDescent="0.35">
      <c r="A107" s="25"/>
      <c r="B107" s="14"/>
      <c r="C107" s="14"/>
      <c r="D107" s="14"/>
      <c r="E107" s="14"/>
      <c r="F107" s="14"/>
      <c r="G107" s="14"/>
      <c r="H107" s="7"/>
      <c r="I107" s="7"/>
      <c r="J107" s="14"/>
      <c r="K107" s="14"/>
    </row>
    <row r="108" spans="1:11" ht="15.5" x14ac:dyDescent="0.35">
      <c r="A108" s="25" t="s">
        <v>198</v>
      </c>
      <c r="B108" s="14"/>
      <c r="C108" s="14"/>
      <c r="D108" s="14"/>
      <c r="E108" s="14"/>
      <c r="F108" s="14"/>
      <c r="G108" s="14"/>
      <c r="H108" s="7"/>
      <c r="I108" s="7"/>
      <c r="J108" s="14"/>
      <c r="K108" s="14"/>
    </row>
    <row r="109" spans="1:11" ht="15.5" x14ac:dyDescent="0.35">
      <c r="A109" s="14" t="s">
        <v>111</v>
      </c>
      <c r="B109" s="14"/>
      <c r="C109" s="14"/>
      <c r="D109" s="39" t="s">
        <v>112</v>
      </c>
      <c r="E109" s="40"/>
      <c r="F109" s="40"/>
      <c r="G109" s="40"/>
      <c r="H109" s="7"/>
      <c r="I109" s="7"/>
      <c r="J109" s="40"/>
      <c r="K109" s="14"/>
    </row>
    <row r="110" spans="1:11" ht="15.5" x14ac:dyDescent="0.35">
      <c r="A110" s="25"/>
      <c r="B110" s="14"/>
      <c r="C110" s="14"/>
      <c r="D110" s="49" t="s">
        <v>79</v>
      </c>
      <c r="E110" s="41"/>
      <c r="F110" s="41"/>
      <c r="G110" s="42"/>
      <c r="H110" s="7"/>
      <c r="I110" s="7"/>
      <c r="J110" s="14"/>
      <c r="K110" s="14"/>
    </row>
    <row r="111" spans="1:11" ht="15.5" x14ac:dyDescent="0.35">
      <c r="A111" s="25"/>
      <c r="B111" s="14"/>
      <c r="C111" s="14"/>
      <c r="D111" s="64" t="s">
        <v>113</v>
      </c>
      <c r="E111" s="65" t="s">
        <v>114</v>
      </c>
      <c r="F111" s="65" t="s">
        <v>115</v>
      </c>
      <c r="G111" s="66" t="s">
        <v>116</v>
      </c>
      <c r="H111" s="7"/>
      <c r="I111" s="7"/>
      <c r="J111" s="14"/>
      <c r="K111" s="14"/>
    </row>
    <row r="112" spans="1:11" ht="15.5" x14ac:dyDescent="0.35">
      <c r="A112" s="25"/>
      <c r="B112" s="14"/>
      <c r="C112" s="14"/>
      <c r="D112" s="67" t="s">
        <v>117</v>
      </c>
      <c r="E112" s="58" t="s">
        <v>118</v>
      </c>
      <c r="F112" s="68"/>
      <c r="G112" s="69" t="s">
        <v>118</v>
      </c>
      <c r="H112" s="7"/>
      <c r="I112" s="7"/>
      <c r="J112" s="14"/>
      <c r="K112" s="14"/>
    </row>
    <row r="113" spans="1:11" ht="15.75" customHeight="1" x14ac:dyDescent="0.35">
      <c r="A113" s="14"/>
      <c r="B113" s="70" t="s">
        <v>119</v>
      </c>
      <c r="C113" s="71"/>
      <c r="D113" s="72"/>
      <c r="E113" s="72"/>
      <c r="F113" s="72"/>
      <c r="G113" s="72" t="s">
        <v>261</v>
      </c>
      <c r="H113" s="7"/>
      <c r="I113" s="7"/>
      <c r="J113" s="14"/>
      <c r="K113" s="14"/>
    </row>
    <row r="114" spans="1:11" ht="15.75" customHeight="1" x14ac:dyDescent="0.35">
      <c r="A114" s="14"/>
      <c r="B114" s="70" t="s">
        <v>120</v>
      </c>
      <c r="C114" s="71"/>
      <c r="D114" s="72"/>
      <c r="E114" s="72"/>
      <c r="F114" s="72"/>
      <c r="G114" s="72" t="s">
        <v>261</v>
      </c>
      <c r="H114" s="7"/>
      <c r="I114" s="7"/>
      <c r="J114" s="14"/>
      <c r="K114" s="14"/>
    </row>
    <row r="115" spans="1:11" ht="15.75" customHeight="1" x14ac:dyDescent="0.35">
      <c r="A115" s="25"/>
      <c r="B115" s="70" t="s">
        <v>121</v>
      </c>
      <c r="C115" s="71"/>
      <c r="D115" s="72"/>
      <c r="E115" s="72"/>
      <c r="F115" s="72"/>
      <c r="G115" s="72" t="s">
        <v>261</v>
      </c>
      <c r="H115" s="7"/>
      <c r="I115" s="7"/>
      <c r="J115" s="14"/>
      <c r="K115" s="14"/>
    </row>
    <row r="116" spans="1:11" ht="15.75" customHeight="1" x14ac:dyDescent="0.35">
      <c r="A116" s="25"/>
      <c r="B116" s="73" t="s">
        <v>122</v>
      </c>
      <c r="C116" s="74"/>
      <c r="D116" s="72"/>
      <c r="E116" s="72"/>
      <c r="F116" s="72"/>
      <c r="G116" s="72" t="s">
        <v>261</v>
      </c>
      <c r="H116" s="7"/>
      <c r="I116" s="7"/>
      <c r="J116" s="14"/>
      <c r="K116" s="14"/>
    </row>
    <row r="117" spans="1:11" ht="15.75" customHeight="1" x14ac:dyDescent="0.35">
      <c r="A117" s="25"/>
      <c r="B117" s="70" t="s">
        <v>123</v>
      </c>
      <c r="C117" s="71"/>
      <c r="D117" s="72"/>
      <c r="E117" s="72" t="s">
        <v>261</v>
      </c>
      <c r="F117" s="72"/>
      <c r="G117" s="72"/>
      <c r="H117" s="7"/>
      <c r="I117" s="7"/>
      <c r="J117" s="14"/>
      <c r="K117" s="14"/>
    </row>
    <row r="118" spans="1:11" ht="15.75" customHeight="1" x14ac:dyDescent="0.35">
      <c r="A118" s="25"/>
      <c r="B118" s="70" t="s">
        <v>124</v>
      </c>
      <c r="C118" s="71"/>
      <c r="D118" s="72"/>
      <c r="E118" s="72"/>
      <c r="F118" s="72" t="s">
        <v>261</v>
      </c>
      <c r="G118" s="72"/>
      <c r="H118" s="7"/>
      <c r="I118" s="7"/>
      <c r="J118" s="14"/>
      <c r="K118" s="14"/>
    </row>
    <row r="119" spans="1:11" ht="15.75" customHeight="1" x14ac:dyDescent="0.35">
      <c r="A119" s="25"/>
      <c r="B119" s="70" t="s">
        <v>125</v>
      </c>
      <c r="C119" s="71"/>
      <c r="D119" s="72"/>
      <c r="E119" s="72"/>
      <c r="F119" s="72" t="s">
        <v>261</v>
      </c>
      <c r="G119" s="72"/>
      <c r="H119" s="7"/>
      <c r="I119" s="7"/>
      <c r="J119" s="14"/>
      <c r="K119" s="14"/>
    </row>
    <row r="120" spans="1:11" ht="15.75" customHeight="1" x14ac:dyDescent="0.35">
      <c r="A120" s="25"/>
      <c r="B120" s="70" t="s">
        <v>126</v>
      </c>
      <c r="C120" s="71"/>
      <c r="D120" s="72"/>
      <c r="E120" s="72" t="s">
        <v>261</v>
      </c>
      <c r="F120" s="72"/>
      <c r="G120" s="72"/>
      <c r="H120" s="7"/>
      <c r="I120" s="7"/>
      <c r="J120" s="14"/>
      <c r="K120" s="14"/>
    </row>
    <row r="121" spans="1:11" ht="15.75" customHeight="1" x14ac:dyDescent="0.35">
      <c r="A121" s="25"/>
      <c r="B121" s="70" t="s">
        <v>127</v>
      </c>
      <c r="C121" s="71"/>
      <c r="D121" s="72"/>
      <c r="E121" s="72" t="s">
        <v>261</v>
      </c>
      <c r="F121" s="72"/>
      <c r="G121" s="72"/>
      <c r="H121" s="7"/>
      <c r="I121" s="7"/>
      <c r="J121" s="14"/>
      <c r="K121" s="14"/>
    </row>
    <row r="122" spans="1:11" ht="15.75" customHeight="1" x14ac:dyDescent="0.35">
      <c r="A122" s="25"/>
      <c r="B122" s="70" t="s">
        <v>128</v>
      </c>
      <c r="C122" s="71"/>
      <c r="D122" s="72"/>
      <c r="E122" s="72"/>
      <c r="F122" s="72"/>
      <c r="G122" s="72" t="s">
        <v>261</v>
      </c>
      <c r="H122" s="7"/>
      <c r="I122" s="7"/>
      <c r="J122" s="14"/>
      <c r="K122" s="14"/>
    </row>
    <row r="123" spans="1:11" ht="15.5" x14ac:dyDescent="0.35">
      <c r="A123" s="25"/>
      <c r="B123" s="70" t="s">
        <v>129</v>
      </c>
      <c r="C123" s="71"/>
      <c r="D123" s="72"/>
      <c r="E123" s="72"/>
      <c r="F123" s="72"/>
      <c r="G123" s="72" t="s">
        <v>261</v>
      </c>
      <c r="H123" s="7"/>
      <c r="I123" s="7"/>
      <c r="J123" s="14"/>
      <c r="K123" s="14"/>
    </row>
    <row r="124" spans="1:11" ht="15.75" customHeight="1" x14ac:dyDescent="0.35">
      <c r="A124" s="25"/>
      <c r="B124" s="70" t="s">
        <v>130</v>
      </c>
      <c r="C124" s="71"/>
      <c r="D124" s="72"/>
      <c r="E124" s="72"/>
      <c r="F124" s="72"/>
      <c r="G124" s="72" t="s">
        <v>261</v>
      </c>
      <c r="H124" s="7"/>
      <c r="I124" s="7"/>
      <c r="J124" s="14"/>
      <c r="K124" s="14"/>
    </row>
    <row r="125" spans="1:11" ht="15.5" x14ac:dyDescent="0.35">
      <c r="A125" s="25"/>
      <c r="B125" s="14"/>
      <c r="C125" s="14"/>
      <c r="D125" s="14"/>
      <c r="E125" s="14"/>
      <c r="F125" s="14"/>
      <c r="G125" s="14"/>
      <c r="H125" s="7"/>
      <c r="I125" s="7"/>
      <c r="J125" s="14"/>
      <c r="K125" s="14"/>
    </row>
    <row r="126" spans="1:11" ht="15.5" x14ac:dyDescent="0.35">
      <c r="A126" s="25" t="s">
        <v>199</v>
      </c>
      <c r="B126" s="14"/>
      <c r="C126" s="14"/>
      <c r="D126" s="14"/>
      <c r="E126" s="14"/>
      <c r="F126" s="14"/>
      <c r="G126" s="14"/>
      <c r="H126" s="7"/>
      <c r="I126" s="7"/>
      <c r="J126" s="14"/>
      <c r="K126" s="14"/>
    </row>
    <row r="127" spans="1:11" ht="15.5" x14ac:dyDescent="0.35">
      <c r="A127" s="25"/>
      <c r="B127" s="14"/>
      <c r="C127" s="14"/>
      <c r="D127" s="14"/>
      <c r="E127" s="14"/>
      <c r="F127" s="14"/>
      <c r="G127" s="14"/>
      <c r="H127" s="7"/>
      <c r="I127" s="7"/>
      <c r="J127" s="14"/>
      <c r="K127" s="14"/>
    </row>
    <row r="128" spans="1:11" ht="15.5" x14ac:dyDescent="0.35">
      <c r="A128" s="25"/>
      <c r="B128" s="14"/>
      <c r="C128" s="14"/>
      <c r="D128" s="30" t="s">
        <v>131</v>
      </c>
      <c r="E128" s="14"/>
      <c r="F128" s="14"/>
      <c r="G128" s="14"/>
      <c r="H128" s="7"/>
      <c r="I128" s="7"/>
      <c r="J128" s="14"/>
    </row>
    <row r="129" spans="1:11" ht="15.5" x14ac:dyDescent="0.35">
      <c r="A129" s="25"/>
      <c r="B129" s="14"/>
      <c r="C129" s="14" t="s">
        <v>200</v>
      </c>
      <c r="D129" s="140">
        <v>7</v>
      </c>
      <c r="E129" s="25"/>
      <c r="F129" s="14"/>
      <c r="G129" s="14"/>
      <c r="H129" s="7"/>
      <c r="I129" s="7"/>
      <c r="J129" s="14"/>
    </row>
    <row r="130" spans="1:11" ht="15.5" x14ac:dyDescent="0.35">
      <c r="A130" s="25"/>
      <c r="B130" s="14"/>
      <c r="C130" s="14" t="s">
        <v>201</v>
      </c>
      <c r="D130" s="132">
        <v>6</v>
      </c>
      <c r="E130" s="25"/>
      <c r="F130" s="14"/>
      <c r="G130" s="14"/>
      <c r="H130" s="7"/>
      <c r="I130" s="7"/>
      <c r="J130" s="14"/>
    </row>
    <row r="131" spans="1:11" ht="15.5" x14ac:dyDescent="0.35">
      <c r="A131" s="25"/>
      <c r="B131" s="14"/>
      <c r="C131" s="14"/>
      <c r="D131" s="14"/>
      <c r="E131" s="14"/>
      <c r="F131" s="14"/>
      <c r="G131" s="14"/>
      <c r="H131" s="7"/>
      <c r="I131" s="7"/>
      <c r="J131" s="14"/>
      <c r="K131" s="14"/>
    </row>
    <row r="132" spans="1:11" ht="15.5" x14ac:dyDescent="0.35">
      <c r="A132" s="25" t="s">
        <v>202</v>
      </c>
      <c r="B132" s="14"/>
      <c r="C132" s="14"/>
      <c r="D132" s="14"/>
      <c r="E132" s="14"/>
      <c r="F132" s="14"/>
      <c r="G132" s="14"/>
      <c r="H132" s="7"/>
      <c r="I132" s="7"/>
      <c r="J132" s="14"/>
      <c r="K132" s="14"/>
    </row>
    <row r="133" spans="1:11" ht="15.5" x14ac:dyDescent="0.35">
      <c r="A133" s="25"/>
      <c r="B133" s="14"/>
      <c r="C133" s="14"/>
      <c r="D133" s="14"/>
      <c r="E133" s="14"/>
      <c r="F133" s="14"/>
      <c r="G133" s="14"/>
      <c r="H133" s="7"/>
      <c r="I133" s="7"/>
      <c r="J133" s="14"/>
      <c r="K133" s="14"/>
    </row>
    <row r="134" spans="1:11" ht="15.5" x14ac:dyDescent="0.35">
      <c r="A134" s="25"/>
      <c r="B134" s="14"/>
      <c r="C134" s="14"/>
      <c r="D134" s="30" t="s">
        <v>131</v>
      </c>
      <c r="E134" s="14"/>
      <c r="F134" s="14"/>
      <c r="G134" s="14"/>
      <c r="H134" s="7"/>
      <c r="I134" s="7"/>
      <c r="J134" s="14"/>
      <c r="K134" s="14"/>
    </row>
    <row r="135" spans="1:11" ht="15.5" x14ac:dyDescent="0.35">
      <c r="A135" s="25"/>
      <c r="B135" s="14"/>
      <c r="C135" s="14" t="s">
        <v>200</v>
      </c>
      <c r="D135" s="140">
        <v>7</v>
      </c>
      <c r="E135" s="25"/>
      <c r="F135" s="14"/>
      <c r="G135" s="14"/>
      <c r="H135" s="7"/>
      <c r="I135" s="7"/>
      <c r="J135" s="14"/>
      <c r="K135" s="14"/>
    </row>
    <row r="136" spans="1:11" ht="15.5" x14ac:dyDescent="0.35">
      <c r="A136" s="25"/>
      <c r="B136" s="14"/>
      <c r="C136" s="14" t="s">
        <v>201</v>
      </c>
      <c r="D136" s="132">
        <v>6</v>
      </c>
      <c r="E136" s="25"/>
      <c r="F136" s="14"/>
      <c r="G136" s="14"/>
      <c r="H136" s="7"/>
      <c r="I136" s="7"/>
      <c r="J136" s="14"/>
      <c r="K136" s="14"/>
    </row>
    <row r="137" spans="1:11" ht="15.5" x14ac:dyDescent="0.35">
      <c r="A137" s="14"/>
      <c r="B137" s="14"/>
      <c r="C137" s="14"/>
      <c r="D137" s="14"/>
      <c r="E137" s="14"/>
      <c r="F137" s="14"/>
      <c r="G137" s="14"/>
      <c r="H137" s="7"/>
      <c r="I137" s="7"/>
      <c r="J137" s="14"/>
      <c r="K137" s="14"/>
    </row>
    <row r="138" spans="1:11" ht="15.5" x14ac:dyDescent="0.35">
      <c r="A138" s="75" t="s">
        <v>203</v>
      </c>
      <c r="B138" s="76"/>
      <c r="C138" s="77"/>
      <c r="D138" s="14"/>
      <c r="E138" s="14"/>
      <c r="F138" s="14"/>
      <c r="G138" s="14"/>
      <c r="H138" s="7"/>
      <c r="I138" s="7"/>
      <c r="J138" s="14"/>
      <c r="K138" s="14"/>
    </row>
    <row r="139" spans="1:11" ht="15.5" x14ac:dyDescent="0.35">
      <c r="A139" s="25"/>
      <c r="B139" s="14"/>
      <c r="C139" s="14"/>
      <c r="D139" s="14"/>
      <c r="E139" s="14"/>
      <c r="F139" s="14"/>
      <c r="G139" s="14"/>
      <c r="H139" s="7"/>
      <c r="I139" s="7"/>
      <c r="J139" s="14"/>
      <c r="K139" s="14"/>
    </row>
    <row r="140" spans="1:11" ht="15.5" x14ac:dyDescent="0.35">
      <c r="A140" s="25" t="s">
        <v>204</v>
      </c>
      <c r="B140" s="14"/>
      <c r="C140" s="14"/>
      <c r="D140" s="14"/>
      <c r="E140" s="14"/>
      <c r="F140" s="14"/>
      <c r="G140" s="14"/>
      <c r="H140" s="7"/>
      <c r="I140" s="7"/>
      <c r="J140" s="14"/>
      <c r="K140" s="14"/>
    </row>
    <row r="141" spans="1:11" ht="15.5" x14ac:dyDescent="0.35">
      <c r="A141" s="14" t="s">
        <v>132</v>
      </c>
      <c r="B141" s="14"/>
      <c r="C141" s="14"/>
      <c r="D141" s="14"/>
      <c r="E141" s="14"/>
      <c r="F141" s="14"/>
      <c r="G141" s="14"/>
      <c r="H141" s="7"/>
      <c r="I141" s="7"/>
      <c r="J141" s="14"/>
      <c r="K141" s="14"/>
    </row>
    <row r="142" spans="1:11" ht="15.5" x14ac:dyDescent="0.35">
      <c r="A142" s="14"/>
      <c r="B142" s="14"/>
      <c r="C142" s="14"/>
      <c r="D142" s="78" t="s">
        <v>133</v>
      </c>
      <c r="E142" s="79"/>
      <c r="H142" s="7"/>
      <c r="I142" s="7"/>
      <c r="J142" s="14"/>
      <c r="K142" s="14"/>
    </row>
    <row r="143" spans="1:11" ht="15.5" x14ac:dyDescent="0.35">
      <c r="A143" s="14"/>
      <c r="B143" s="14"/>
      <c r="C143" s="14"/>
      <c r="D143" s="80" t="s">
        <v>134</v>
      </c>
      <c r="E143" s="80" t="s">
        <v>135</v>
      </c>
      <c r="H143" s="7"/>
      <c r="I143" s="7"/>
      <c r="J143" s="14"/>
      <c r="K143" s="14"/>
    </row>
    <row r="144" spans="1:11" ht="15.5" x14ac:dyDescent="0.35">
      <c r="A144" s="14" t="s">
        <v>136</v>
      </c>
      <c r="B144" s="14"/>
      <c r="C144" s="14"/>
      <c r="D144" s="35"/>
      <c r="E144" s="35" t="s">
        <v>73</v>
      </c>
      <c r="H144" s="7"/>
      <c r="I144" s="7"/>
      <c r="J144" s="14"/>
      <c r="K144" s="14"/>
    </row>
    <row r="145" spans="1:11" ht="15.5" x14ac:dyDescent="0.35">
      <c r="A145" s="14" t="s">
        <v>137</v>
      </c>
      <c r="B145" s="14"/>
      <c r="C145" s="14"/>
      <c r="D145" s="35" t="s">
        <v>73</v>
      </c>
      <c r="E145" s="35"/>
      <c r="H145" s="7"/>
      <c r="I145" s="7"/>
      <c r="J145" s="14"/>
      <c r="K145" s="14"/>
    </row>
    <row r="146" spans="1:11" ht="15.5" x14ac:dyDescent="0.35">
      <c r="A146" s="14" t="s">
        <v>138</v>
      </c>
      <c r="B146" s="14"/>
      <c r="C146" s="14"/>
      <c r="D146" s="35" t="s">
        <v>73</v>
      </c>
      <c r="E146" s="35"/>
      <c r="H146" s="7"/>
      <c r="I146" s="7"/>
      <c r="J146" s="14"/>
      <c r="K146" s="14"/>
    </row>
    <row r="147" spans="1:11" ht="15.5" x14ac:dyDescent="0.35">
      <c r="A147" s="14"/>
      <c r="B147" s="14"/>
      <c r="C147" s="14"/>
      <c r="D147" s="14"/>
      <c r="E147" s="14"/>
      <c r="F147" s="14"/>
      <c r="G147" s="14"/>
      <c r="H147" s="7"/>
      <c r="I147" s="7"/>
      <c r="J147" s="14"/>
      <c r="K147" s="14"/>
    </row>
    <row r="148" spans="1:11" ht="15.5" x14ac:dyDescent="0.35">
      <c r="A148" s="14" t="s">
        <v>139</v>
      </c>
      <c r="B148" s="14"/>
      <c r="C148" s="14"/>
      <c r="D148" s="81" t="s">
        <v>140</v>
      </c>
      <c r="E148" s="35"/>
      <c r="F148" s="81" t="s">
        <v>141</v>
      </c>
      <c r="G148" s="35"/>
      <c r="H148" s="7"/>
      <c r="I148" s="7"/>
      <c r="J148" s="14"/>
      <c r="K148" s="14"/>
    </row>
    <row r="149" spans="1:11" ht="15.5" x14ac:dyDescent="0.35">
      <c r="A149" s="14"/>
      <c r="B149" s="14"/>
      <c r="C149" s="14"/>
      <c r="D149" s="81" t="s">
        <v>142</v>
      </c>
      <c r="E149" s="35" t="s">
        <v>73</v>
      </c>
      <c r="F149" s="81" t="s">
        <v>143</v>
      </c>
      <c r="G149" s="35"/>
      <c r="H149" s="7"/>
      <c r="I149" s="7"/>
      <c r="J149" s="14"/>
      <c r="K149" s="14"/>
    </row>
    <row r="150" spans="1:11" ht="15.5" x14ac:dyDescent="0.35">
      <c r="A150" s="14"/>
      <c r="B150" s="14"/>
      <c r="C150" s="14"/>
      <c r="D150" s="14"/>
      <c r="E150" s="14"/>
      <c r="F150" s="14"/>
      <c r="G150" s="14"/>
      <c r="H150" s="7"/>
      <c r="I150" s="7"/>
      <c r="J150" s="14"/>
      <c r="K150" s="14"/>
    </row>
    <row r="151" spans="1:11" ht="15.5" x14ac:dyDescent="0.35">
      <c r="A151" s="39" t="s">
        <v>144</v>
      </c>
      <c r="B151" s="40"/>
      <c r="C151" s="40"/>
      <c r="D151" s="40"/>
      <c r="E151" s="40"/>
      <c r="F151" s="40"/>
      <c r="G151" s="40"/>
      <c r="H151" s="7"/>
      <c r="I151" s="7"/>
      <c r="J151" s="14"/>
      <c r="K151" s="14"/>
    </row>
    <row r="152" spans="1:11" ht="15.5" x14ac:dyDescent="0.35">
      <c r="A152" s="14"/>
      <c r="B152" s="14"/>
      <c r="C152" s="14"/>
      <c r="D152" s="14"/>
      <c r="E152" s="14"/>
      <c r="F152" s="14"/>
      <c r="G152" s="14"/>
      <c r="H152" s="7"/>
      <c r="I152" s="7"/>
      <c r="J152" s="14"/>
      <c r="K152" s="14"/>
    </row>
    <row r="153" spans="1:11" ht="15.5" x14ac:dyDescent="0.35">
      <c r="A153" s="14" t="s">
        <v>145</v>
      </c>
      <c r="B153" s="82" t="s">
        <v>146</v>
      </c>
      <c r="C153" s="14"/>
      <c r="D153" s="14" t="s">
        <v>147</v>
      </c>
      <c r="E153" s="82" t="s">
        <v>148</v>
      </c>
      <c r="F153" s="14"/>
      <c r="H153" s="7"/>
      <c r="I153" s="7"/>
      <c r="J153" s="14"/>
      <c r="K153" s="14"/>
    </row>
    <row r="154" spans="1:11" ht="15.5" x14ac:dyDescent="0.35">
      <c r="A154" s="14" t="s">
        <v>149</v>
      </c>
      <c r="B154" s="82" t="s">
        <v>146</v>
      </c>
      <c r="C154" s="14"/>
      <c r="D154" s="14" t="s">
        <v>150</v>
      </c>
      <c r="E154" s="83" t="s">
        <v>151</v>
      </c>
      <c r="F154" s="14"/>
      <c r="H154" s="7"/>
      <c r="I154" s="7"/>
      <c r="J154" s="14"/>
      <c r="K154" s="14"/>
    </row>
    <row r="155" spans="1:11" ht="15.5" x14ac:dyDescent="0.35">
      <c r="A155" s="14" t="s">
        <v>152</v>
      </c>
      <c r="B155" s="82" t="s">
        <v>153</v>
      </c>
      <c r="C155" s="14"/>
      <c r="D155" s="14" t="s">
        <v>154</v>
      </c>
      <c r="E155" s="82">
        <v>3112363116</v>
      </c>
      <c r="F155" s="14"/>
      <c r="H155" s="7"/>
      <c r="I155" s="7"/>
      <c r="J155" s="14"/>
      <c r="K155" s="14"/>
    </row>
    <row r="156" spans="1:11" ht="15.5" x14ac:dyDescent="0.35">
      <c r="A156" s="14" t="s">
        <v>155</v>
      </c>
      <c r="B156" s="82" t="s">
        <v>156</v>
      </c>
      <c r="C156" s="14"/>
      <c r="D156" s="14" t="s">
        <v>157</v>
      </c>
      <c r="E156" s="82"/>
      <c r="F156" s="14"/>
      <c r="H156" s="7"/>
      <c r="I156" s="7"/>
      <c r="J156" s="14"/>
      <c r="K156" s="14"/>
    </row>
    <row r="157" spans="1:11" ht="15.5" x14ac:dyDescent="0.35">
      <c r="A157" s="14" t="s">
        <v>158</v>
      </c>
      <c r="B157" s="82" t="s">
        <v>159</v>
      </c>
      <c r="C157" s="14"/>
      <c r="D157" s="14" t="s">
        <v>160</v>
      </c>
      <c r="E157" s="84">
        <v>46308</v>
      </c>
      <c r="F157" s="85"/>
      <c r="H157" s="7"/>
      <c r="I157" s="7"/>
      <c r="J157" s="14"/>
      <c r="K157" s="14"/>
    </row>
    <row r="158" spans="1:11" ht="17.5" x14ac:dyDescent="0.35">
      <c r="A158" s="86" t="s">
        <v>161</v>
      </c>
      <c r="B158" s="21"/>
      <c r="C158" s="21"/>
      <c r="D158" s="21"/>
      <c r="E158" s="21"/>
      <c r="F158" s="21"/>
      <c r="G158" s="21"/>
      <c r="H158" s="7"/>
      <c r="I158" s="7"/>
      <c r="J158" s="14"/>
      <c r="K158" s="14"/>
    </row>
    <row r="159" spans="1:11" s="88" customFormat="1" ht="15.5" x14ac:dyDescent="0.35">
      <c r="A159" s="87" t="s">
        <v>205</v>
      </c>
      <c r="B159" s="14"/>
      <c r="C159" s="14"/>
      <c r="D159" s="14"/>
      <c r="E159" s="14"/>
      <c r="F159" s="14"/>
      <c r="G159" s="14"/>
      <c r="H159" s="7"/>
      <c r="I159" s="7"/>
      <c r="J159" s="14"/>
      <c r="K159" s="14"/>
    </row>
    <row r="160" spans="1:11" ht="15.5" x14ac:dyDescent="0.35">
      <c r="A160" s="14" t="s">
        <v>162</v>
      </c>
      <c r="B160" s="14"/>
      <c r="C160" s="14"/>
      <c r="D160" s="14"/>
      <c r="E160" s="14"/>
      <c r="F160" s="14"/>
      <c r="G160" s="14"/>
      <c r="H160" s="7"/>
      <c r="I160" s="7"/>
      <c r="J160" s="14"/>
      <c r="K160" s="14"/>
    </row>
    <row r="161" spans="1:11" ht="15.5" x14ac:dyDescent="0.35">
      <c r="A161" s="14"/>
      <c r="B161" s="14"/>
      <c r="C161" s="14"/>
      <c r="D161" s="14"/>
      <c r="E161" s="14"/>
      <c r="F161" s="14"/>
      <c r="G161" s="14"/>
      <c r="H161" s="7"/>
      <c r="I161" s="7"/>
      <c r="J161" s="14"/>
      <c r="K161" s="14"/>
    </row>
    <row r="162" spans="1:11" ht="15.5" x14ac:dyDescent="0.35">
      <c r="A162" s="14"/>
      <c r="B162" s="14"/>
      <c r="C162" s="14"/>
      <c r="D162" s="14"/>
      <c r="E162" s="14"/>
      <c r="F162" s="14"/>
      <c r="G162" s="14"/>
      <c r="H162" s="7"/>
      <c r="I162" s="7"/>
      <c r="J162" s="14"/>
      <c r="K162" s="14"/>
    </row>
    <row r="163" spans="1:11" ht="15.5" x14ac:dyDescent="0.35">
      <c r="A163" s="14"/>
      <c r="B163" s="14"/>
      <c r="C163" s="14"/>
      <c r="D163" s="14"/>
      <c r="E163" s="14"/>
      <c r="F163" s="14"/>
      <c r="G163" s="14"/>
      <c r="H163" s="7"/>
      <c r="I163" s="7"/>
      <c r="J163" s="14"/>
      <c r="K163" s="14"/>
    </row>
    <row r="164" spans="1:11" ht="15.5" x14ac:dyDescent="0.35">
      <c r="A164" s="14"/>
      <c r="B164" s="14"/>
      <c r="C164" s="14"/>
      <c r="D164" s="14"/>
      <c r="E164" s="14"/>
      <c r="F164" s="14"/>
      <c r="G164" s="14"/>
      <c r="H164" s="7"/>
      <c r="I164" s="7"/>
      <c r="J164" s="14"/>
      <c r="K164" s="14"/>
    </row>
    <row r="165" spans="1:11" ht="15.5" x14ac:dyDescent="0.35">
      <c r="A165" s="14"/>
      <c r="B165" s="14"/>
      <c r="C165" s="14"/>
      <c r="D165" s="14"/>
      <c r="E165" s="14"/>
      <c r="F165" s="14"/>
      <c r="G165" s="14"/>
      <c r="H165" s="7"/>
      <c r="I165" s="7"/>
      <c r="J165" s="14"/>
      <c r="K165" s="14"/>
    </row>
    <row r="166" spans="1:11" x14ac:dyDescent="0.25">
      <c r="H166" s="7"/>
      <c r="I166" s="7"/>
    </row>
    <row r="167" spans="1:11" x14ac:dyDescent="0.25">
      <c r="H167" s="7"/>
      <c r="I167" s="7"/>
    </row>
    <row r="168" spans="1:11" x14ac:dyDescent="0.25">
      <c r="H168" s="7"/>
      <c r="I168" s="7"/>
    </row>
    <row r="169" spans="1:11" x14ac:dyDescent="0.25">
      <c r="H169" s="7"/>
      <c r="I169" s="7"/>
    </row>
    <row r="170" spans="1:11" x14ac:dyDescent="0.25">
      <c r="F170" s="15" t="s">
        <v>163</v>
      </c>
      <c r="H170" s="7"/>
      <c r="I170" s="7"/>
    </row>
    <row r="171" spans="1:11" x14ac:dyDescent="0.25">
      <c r="B171" s="15" t="s">
        <v>164</v>
      </c>
      <c r="H171" s="7"/>
      <c r="I171" s="7"/>
    </row>
    <row r="172" spans="1:11" x14ac:dyDescent="0.25">
      <c r="H172" s="7"/>
      <c r="I172" s="7"/>
    </row>
    <row r="173" spans="1:11" x14ac:dyDescent="0.25">
      <c r="H173" s="7"/>
      <c r="I173" s="7"/>
    </row>
    <row r="174" spans="1:11" x14ac:dyDescent="0.25">
      <c r="H174" s="7"/>
      <c r="I174" s="7"/>
    </row>
    <row r="175" spans="1:11" x14ac:dyDescent="0.25">
      <c r="H175" s="7"/>
      <c r="I175" s="7"/>
    </row>
    <row r="176" spans="1:11" x14ac:dyDescent="0.25">
      <c r="H176" s="7"/>
      <c r="I176" s="7"/>
    </row>
  </sheetData>
  <conditionalFormatting sqref="D19">
    <cfRule type="cellIs" dxfId="43" priority="29" stopIfTrue="1" operator="equal">
      <formula>99999</formula>
    </cfRule>
  </conditionalFormatting>
  <conditionalFormatting sqref="D25:D30">
    <cfRule type="expression" dxfId="42" priority="44" stopIfTrue="1">
      <formula>ISTEXT(D25)</formula>
    </cfRule>
  </conditionalFormatting>
  <conditionalFormatting sqref="D35:D37">
    <cfRule type="expression" dxfId="41" priority="42" stopIfTrue="1">
      <formula>ISTEXT(D35)</formula>
    </cfRule>
  </conditionalFormatting>
  <conditionalFormatting sqref="D54">
    <cfRule type="duplicateValues" dxfId="40" priority="4" stopIfTrue="1"/>
  </conditionalFormatting>
  <conditionalFormatting sqref="D65:D68">
    <cfRule type="expression" dxfId="39" priority="39" stopIfTrue="1">
      <formula>ISTEXT(D65)</formula>
    </cfRule>
  </conditionalFormatting>
  <conditionalFormatting sqref="D74:D77">
    <cfRule type="expression" dxfId="38" priority="38" stopIfTrue="1">
      <formula>ISTEXT(D74)</formula>
    </cfRule>
  </conditionalFormatting>
  <conditionalFormatting sqref="D87:D88">
    <cfRule type="expression" dxfId="37" priority="37" stopIfTrue="1">
      <formula>ISTEXT(D87)</formula>
    </cfRule>
  </conditionalFormatting>
  <conditionalFormatting sqref="D101">
    <cfRule type="duplicateValues" dxfId="36" priority="6" stopIfTrue="1"/>
  </conditionalFormatting>
  <conditionalFormatting sqref="D102">
    <cfRule type="duplicateValues" dxfId="35" priority="11" stopIfTrue="1"/>
  </conditionalFormatting>
  <conditionalFormatting sqref="D103">
    <cfRule type="duplicateValues" dxfId="34" priority="10" stopIfTrue="1"/>
  </conditionalFormatting>
  <conditionalFormatting sqref="D104">
    <cfRule type="duplicateValues" dxfId="33" priority="9" stopIfTrue="1"/>
  </conditionalFormatting>
  <conditionalFormatting sqref="D105">
    <cfRule type="duplicateValues" dxfId="32" priority="8" stopIfTrue="1"/>
  </conditionalFormatting>
  <conditionalFormatting sqref="D106">
    <cfRule type="duplicateValues" dxfId="31" priority="7" stopIfTrue="1"/>
  </conditionalFormatting>
  <conditionalFormatting sqref="D129">
    <cfRule type="duplicateValues" dxfId="30" priority="27" stopIfTrue="1"/>
  </conditionalFormatting>
  <conditionalFormatting sqref="D130">
    <cfRule type="duplicateValues" dxfId="29" priority="26" stopIfTrue="1"/>
  </conditionalFormatting>
  <conditionalFormatting sqref="D135">
    <cfRule type="duplicateValues" dxfId="28" priority="13" stopIfTrue="1"/>
  </conditionalFormatting>
  <conditionalFormatting sqref="D136">
    <cfRule type="duplicateValues" dxfId="27" priority="12" stopIfTrue="1"/>
  </conditionalFormatting>
  <conditionalFormatting sqref="D46:E46 G46">
    <cfRule type="duplicateValues" dxfId="26" priority="41" stopIfTrue="1"/>
  </conditionalFormatting>
  <conditionalFormatting sqref="D144:E144">
    <cfRule type="duplicateValues" dxfId="25" priority="34" stopIfTrue="1"/>
  </conditionalFormatting>
  <conditionalFormatting sqref="D145:E145">
    <cfRule type="duplicateValues" dxfId="24" priority="33" stopIfTrue="1"/>
  </conditionalFormatting>
  <conditionalFormatting sqref="D146:E146">
    <cfRule type="duplicateValues" dxfId="23" priority="32" stopIfTrue="1"/>
  </conditionalFormatting>
  <conditionalFormatting sqref="D94:G94">
    <cfRule type="duplicateValues" dxfId="22" priority="36" stopIfTrue="1"/>
  </conditionalFormatting>
  <conditionalFormatting sqref="D95:G95">
    <cfRule type="duplicateValues" dxfId="21" priority="35" stopIfTrue="1"/>
  </conditionalFormatting>
  <conditionalFormatting sqref="D113:G113">
    <cfRule type="duplicateValues" dxfId="20" priority="28" stopIfTrue="1"/>
  </conditionalFormatting>
  <conditionalFormatting sqref="D114:G114">
    <cfRule type="duplicateValues" dxfId="19" priority="25" stopIfTrue="1"/>
  </conditionalFormatting>
  <conditionalFormatting sqref="D115:G115">
    <cfRule type="duplicateValues" dxfId="18" priority="24" stopIfTrue="1"/>
  </conditionalFormatting>
  <conditionalFormatting sqref="D116:G116">
    <cfRule type="duplicateValues" dxfId="17" priority="23" stopIfTrue="1"/>
  </conditionalFormatting>
  <conditionalFormatting sqref="D117:G117">
    <cfRule type="duplicateValues" dxfId="16" priority="22" stopIfTrue="1"/>
  </conditionalFormatting>
  <conditionalFormatting sqref="D118:G118">
    <cfRule type="duplicateValues" dxfId="15" priority="21" stopIfTrue="1"/>
  </conditionalFormatting>
  <conditionalFormatting sqref="D119:G119">
    <cfRule type="duplicateValues" dxfId="14" priority="20" stopIfTrue="1"/>
  </conditionalFormatting>
  <conditionalFormatting sqref="D120:G120">
    <cfRule type="duplicateValues" dxfId="13" priority="19" stopIfTrue="1"/>
  </conditionalFormatting>
  <conditionalFormatting sqref="D121:G121">
    <cfRule type="duplicateValues" dxfId="12" priority="18" stopIfTrue="1"/>
  </conditionalFormatting>
  <conditionalFormatting sqref="D122:G122">
    <cfRule type="duplicateValues" dxfId="11" priority="17" stopIfTrue="1"/>
  </conditionalFormatting>
  <conditionalFormatting sqref="D123:G123">
    <cfRule type="duplicateValues" dxfId="10" priority="16" stopIfTrue="1"/>
  </conditionalFormatting>
  <conditionalFormatting sqref="D124:G124">
    <cfRule type="duplicateValues" dxfId="9" priority="15" stopIfTrue="1"/>
  </conditionalFormatting>
  <conditionalFormatting sqref="E35 G100:G106 H107">
    <cfRule type="expression" dxfId="8" priority="43" stopIfTrue="1">
      <formula>AND(NOT(ISBLANK($D$35)),NOT(ISBLANK($E$35)))</formula>
    </cfRule>
  </conditionalFormatting>
  <conditionalFormatting sqref="E148:E149">
    <cfRule type="duplicateValues" dxfId="7" priority="31" stopIfTrue="1"/>
  </conditionalFormatting>
  <conditionalFormatting sqref="E54:G54">
    <cfRule type="duplicateValues" dxfId="6" priority="40" stopIfTrue="1"/>
  </conditionalFormatting>
  <conditionalFormatting sqref="F46">
    <cfRule type="duplicateValues" dxfId="5" priority="5" stopIfTrue="1"/>
  </conditionalFormatting>
  <conditionalFormatting sqref="G58">
    <cfRule type="cellIs" dxfId="4" priority="14" stopIfTrue="1" operator="equal">
      <formula>99999</formula>
    </cfRule>
  </conditionalFormatting>
  <conditionalFormatting sqref="G148:G149">
    <cfRule type="duplicateValues" dxfId="3" priority="30" stopIfTrue="1"/>
  </conditionalFormatting>
  <conditionalFormatting sqref="F25:F30">
    <cfRule type="expression" dxfId="2" priority="3" stopIfTrue="1">
      <formula>ISTEXT(F25)</formula>
    </cfRule>
  </conditionalFormatting>
  <conditionalFormatting sqref="G35:G36">
    <cfRule type="expression" dxfId="1" priority="2" stopIfTrue="1">
      <formula>ISTEXT(G35)</formula>
    </cfRule>
  </conditionalFormatting>
  <conditionalFormatting sqref="F87:F88">
    <cfRule type="expression" dxfId="0" priority="1" stopIfTrue="1">
      <formula>ISTEXT(F87)</formula>
    </cfRule>
  </conditionalFormatting>
  <dataValidations count="3">
    <dataValidation type="list" allowBlank="1" showInputMessage="1" showErrorMessage="1" sqref="E36" xr:uid="{0D6C98E7-9CFD-46E5-AC17-ADE7778CB5D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620C5F75-24D5-4652-8054-CA03EDA384AE}">
      <formula1>$A$20</formula1>
    </dataValidation>
    <dataValidation type="list" allowBlank="1" showInputMessage="1" showErrorMessage="1" errorTitle="Error" error="Seleccione X de la lista desplegable, no se permiten otros valores" promptTitle="Marcar" prompt="Si considera esta respuesta adecuada seleccione X" sqref="E35 G148:G149 E148:E149 D144:E146 D94:G95 D113:G124 D46:G46 D54:G54" xr:uid="{B7735C4E-A174-48E7-8E87-6C52CD73A1B4}">
      <formula1>$A$20</formula1>
    </dataValidation>
  </dataValidations>
  <hyperlinks>
    <hyperlink ref="B13" r:id="rId1" xr:uid="{EEB947D7-BF36-4DDF-AC81-160ECE69A8A1}"/>
  </hyperlinks>
  <pageMargins left="0.7" right="0.7" top="0.75" bottom="0.75" header="0.3" footer="0.3"/>
  <headerFooter>
    <oddFooter>&amp;C_x000D_&amp;1#&amp;"Aptos"&amp;10&amp;K000000 Uso interno</oddFooter>
  </headerFooter>
  <drawing r:id="rId2"/>
  <legacyDrawing r:id="rId3"/>
  <oleObjects>
    <mc:AlternateContent xmlns:mc="http://schemas.openxmlformats.org/markup-compatibility/2006">
      <mc:Choice Requires="x14">
        <oleObject progId="Word.Document.8" shapeId="1025" r:id="rId4">
          <objectPr defaultSize="0" autoPict="0" r:id="rId5">
            <anchor moveWithCells="1">
              <from>
                <xdr:col>0</xdr:col>
                <xdr:colOff>107950</xdr:colOff>
                <xdr:row>1</xdr:row>
                <xdr:rowOff>12700</xdr:rowOff>
              </from>
              <to>
                <xdr:col>3</xdr:col>
                <xdr:colOff>127000</xdr:colOff>
                <xdr:row>6</xdr:row>
                <xdr:rowOff>12700</xdr:rowOff>
              </to>
            </anchor>
          </objectPr>
        </oleObject>
      </mc:Choice>
      <mc:Fallback>
        <oleObject progId="Word.Document.8"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D323-0E01-4330-8F1F-13BC44B2234C}">
  <dimension ref="A1:M332"/>
  <sheetViews>
    <sheetView workbookViewId="0">
      <selection activeCell="D19" sqref="D19"/>
    </sheetView>
  </sheetViews>
  <sheetFormatPr baseColWidth="10" defaultColWidth="11.453125" defaultRowHeight="15.75" customHeight="1" x14ac:dyDescent="0.3"/>
  <cols>
    <col min="1" max="1" width="13.54296875" style="95" customWidth="1"/>
    <col min="2" max="2" width="9.1796875" style="95" customWidth="1"/>
    <col min="3" max="3" width="10.54296875" style="95" customWidth="1"/>
    <col min="4" max="4" width="10.1796875" style="95" customWidth="1"/>
    <col min="5" max="6" width="9.1796875" style="95" customWidth="1"/>
    <col min="7" max="7" width="6.54296875" style="95" customWidth="1"/>
    <col min="8" max="16384" width="11.453125" style="95"/>
  </cols>
  <sheetData>
    <row r="1" spans="1:12" s="89" customFormat="1" ht="15.75" customHeight="1" x14ac:dyDescent="0.3"/>
    <row r="2" spans="1:12" s="89" customFormat="1" ht="15.75" customHeight="1" x14ac:dyDescent="0.3"/>
    <row r="3" spans="1:12" s="89" customFormat="1" ht="15.75" customHeight="1" x14ac:dyDescent="0.3"/>
    <row r="4" spans="1:12" s="89" customFormat="1" ht="15.75" customHeight="1" x14ac:dyDescent="0.3">
      <c r="B4" s="90"/>
      <c r="C4" s="90"/>
      <c r="D4" s="90"/>
      <c r="E4" s="116" t="s">
        <v>206</v>
      </c>
      <c r="F4" s="116"/>
      <c r="G4" s="116"/>
      <c r="H4" s="116"/>
      <c r="I4" s="116"/>
      <c r="J4" s="90"/>
      <c r="K4" s="90"/>
      <c r="L4" s="90"/>
    </row>
    <row r="5" spans="1:12" s="89" customFormat="1" ht="15.75" customHeight="1" x14ac:dyDescent="0.3">
      <c r="A5" s="117" t="s">
        <v>207</v>
      </c>
      <c r="B5" s="117"/>
      <c r="C5" s="117"/>
      <c r="D5" s="117"/>
      <c r="E5" s="117"/>
      <c r="F5" s="92"/>
      <c r="G5" s="92"/>
      <c r="H5" s="92" t="s">
        <v>208</v>
      </c>
      <c r="I5" s="92"/>
      <c r="J5" s="92"/>
      <c r="K5" s="92"/>
      <c r="L5" s="92"/>
    </row>
    <row r="6" spans="1:12" s="89" customFormat="1" ht="15.75" customHeight="1" x14ac:dyDescent="0.3">
      <c r="A6" s="115" t="s">
        <v>74</v>
      </c>
      <c r="B6" s="115"/>
      <c r="C6" s="115"/>
      <c r="D6" s="115"/>
      <c r="E6" s="115"/>
      <c r="F6" s="93"/>
      <c r="G6" s="93"/>
    </row>
    <row r="7" spans="1:12" s="89" customFormat="1" ht="15.75" customHeight="1" x14ac:dyDescent="0.3">
      <c r="A7" s="115" t="s">
        <v>209</v>
      </c>
      <c r="B7" s="115"/>
      <c r="C7" s="115"/>
      <c r="D7" s="115"/>
      <c r="E7" s="115"/>
      <c r="F7" s="93"/>
      <c r="G7" s="93"/>
    </row>
    <row r="8" spans="1:12" s="89" customFormat="1" ht="15.75" customHeight="1" thickBot="1" x14ac:dyDescent="0.35">
      <c r="A8" s="118" t="s">
        <v>210</v>
      </c>
      <c r="B8" s="118"/>
      <c r="C8" s="118"/>
      <c r="D8" s="118"/>
      <c r="E8" s="118"/>
      <c r="F8" s="94"/>
      <c r="G8" s="93"/>
    </row>
    <row r="9" spans="1:12" s="89" customFormat="1" ht="15.75" customHeight="1" x14ac:dyDescent="0.3">
      <c r="A9" s="91"/>
      <c r="B9" s="91"/>
      <c r="C9" s="91"/>
      <c r="D9" s="91"/>
      <c r="E9" s="91"/>
      <c r="F9" s="91"/>
      <c r="G9" s="91"/>
    </row>
    <row r="10" spans="1:12" s="89" customFormat="1" ht="15.75" customHeight="1" x14ac:dyDescent="0.3">
      <c r="A10" s="89" t="s">
        <v>211</v>
      </c>
      <c r="B10" s="95">
        <v>2022</v>
      </c>
      <c r="C10" s="89">
        <v>2023</v>
      </c>
      <c r="D10" s="89">
        <v>2024</v>
      </c>
      <c r="E10" s="89">
        <v>2025</v>
      </c>
      <c r="F10" s="89">
        <v>2026</v>
      </c>
    </row>
    <row r="11" spans="1:12" s="89" customFormat="1" ht="15.75" customHeight="1" x14ac:dyDescent="0.3">
      <c r="A11" s="96">
        <v>2</v>
      </c>
    </row>
    <row r="12" spans="1:12" s="89" customFormat="1" ht="15.75" customHeight="1" x14ac:dyDescent="0.3">
      <c r="A12" s="89" t="s">
        <v>212</v>
      </c>
      <c r="B12" s="97">
        <v>6.94</v>
      </c>
      <c r="C12" s="97">
        <v>13.25</v>
      </c>
      <c r="D12" s="97">
        <v>8.35</v>
      </c>
      <c r="E12" s="97">
        <v>5.22</v>
      </c>
      <c r="F12" s="97">
        <v>5.35</v>
      </c>
      <c r="G12" s="97"/>
    </row>
    <row r="13" spans="1:12" s="89" customFormat="1" ht="15.75" customHeight="1" x14ac:dyDescent="0.3">
      <c r="A13" s="89" t="s">
        <v>213</v>
      </c>
      <c r="B13" s="97">
        <v>8.01</v>
      </c>
      <c r="C13" s="97">
        <v>13.28</v>
      </c>
      <c r="D13" s="97">
        <v>7.74</v>
      </c>
      <c r="E13" s="97">
        <v>5.28</v>
      </c>
      <c r="F13" s="97">
        <v>5.29</v>
      </c>
      <c r="G13" s="97"/>
    </row>
    <row r="14" spans="1:12" s="89" customFormat="1" ht="15.75" customHeight="1" x14ac:dyDescent="0.3">
      <c r="A14" s="89" t="s">
        <v>214</v>
      </c>
      <c r="B14" s="97">
        <v>8.5299999999999994</v>
      </c>
      <c r="C14" s="97">
        <v>13.34</v>
      </c>
      <c r="D14" s="97">
        <v>7.36</v>
      </c>
      <c r="E14" s="97">
        <v>5.09</v>
      </c>
      <c r="F14" s="97">
        <v>5.56</v>
      </c>
      <c r="G14" s="97"/>
    </row>
    <row r="15" spans="1:12" s="89" customFormat="1" ht="15.75" customHeight="1" x14ac:dyDescent="0.3">
      <c r="A15" s="89" t="s">
        <v>215</v>
      </c>
      <c r="B15" s="97">
        <v>9.23</v>
      </c>
      <c r="C15" s="97">
        <v>12.82</v>
      </c>
      <c r="D15" s="97">
        <v>7.16</v>
      </c>
      <c r="E15" s="97">
        <v>5.16</v>
      </c>
      <c r="F15" s="97">
        <v>5.69</v>
      </c>
      <c r="G15" s="97"/>
    </row>
    <row r="16" spans="1:12" s="89" customFormat="1" ht="15.75" customHeight="1" x14ac:dyDescent="0.3">
      <c r="A16" s="89" t="s">
        <v>216</v>
      </c>
      <c r="B16" s="97">
        <v>9.07</v>
      </c>
      <c r="C16" s="97">
        <v>12.36</v>
      </c>
      <c r="D16" s="97">
        <v>7.16</v>
      </c>
      <c r="E16" s="97">
        <v>5.05</v>
      </c>
      <c r="F16" s="97">
        <v>5.84</v>
      </c>
      <c r="G16" s="97"/>
    </row>
    <row r="17" spans="1:12" s="89" customFormat="1" ht="15.75" customHeight="1" x14ac:dyDescent="0.3">
      <c r="A17" s="89" t="s">
        <v>217</v>
      </c>
      <c r="B17" s="97">
        <v>9.67</v>
      </c>
      <c r="C17" s="97">
        <v>12.13</v>
      </c>
      <c r="D17" s="97">
        <v>7.18</v>
      </c>
      <c r="E17" s="97">
        <v>4.82</v>
      </c>
      <c r="F17" s="97">
        <v>6.14</v>
      </c>
      <c r="G17" s="97"/>
    </row>
    <row r="18" spans="1:12" s="89" customFormat="1" ht="15.75" customHeight="1" x14ac:dyDescent="0.3">
      <c r="A18" s="89" t="s">
        <v>218</v>
      </c>
      <c r="B18" s="97">
        <v>10.210000000000001</v>
      </c>
      <c r="C18" s="97">
        <v>11.78</v>
      </c>
      <c r="D18" s="97">
        <v>6.86</v>
      </c>
      <c r="E18" s="97">
        <v>4.9000000000000004</v>
      </c>
      <c r="F18" s="97">
        <v>6.02</v>
      </c>
      <c r="G18" s="97"/>
    </row>
    <row r="19" spans="1:12" s="89" customFormat="1" ht="15.75" customHeight="1" x14ac:dyDescent="0.3">
      <c r="A19" s="89" t="s">
        <v>219</v>
      </c>
      <c r="B19" s="97">
        <v>10.84</v>
      </c>
      <c r="C19" s="97">
        <v>11.43</v>
      </c>
      <c r="D19" s="97">
        <v>6.12</v>
      </c>
      <c r="E19" s="97">
        <v>5.0999999999999996</v>
      </c>
      <c r="F19" s="97">
        <v>6.25</v>
      </c>
      <c r="G19" s="97"/>
    </row>
    <row r="20" spans="1:12" s="89" customFormat="1" ht="15.75" customHeight="1" x14ac:dyDescent="0.3">
      <c r="A20" s="89" t="s">
        <v>220</v>
      </c>
      <c r="B20" s="97">
        <v>11.44</v>
      </c>
      <c r="C20" s="97">
        <v>10.99</v>
      </c>
      <c r="D20" s="97">
        <v>5.81</v>
      </c>
      <c r="E20" s="97">
        <v>5.18</v>
      </c>
      <c r="F20" s="97"/>
      <c r="G20" s="97"/>
    </row>
    <row r="21" spans="1:12" s="89" customFormat="1" ht="15.75" customHeight="1" x14ac:dyDescent="0.3">
      <c r="A21" s="89" t="s">
        <v>221</v>
      </c>
      <c r="B21" s="97">
        <v>12.22</v>
      </c>
      <c r="C21" s="97">
        <v>10.48</v>
      </c>
      <c r="D21" s="97">
        <v>5.41</v>
      </c>
      <c r="E21" s="97">
        <v>5.51</v>
      </c>
      <c r="F21" s="97" t="s">
        <v>111</v>
      </c>
      <c r="G21" s="97"/>
    </row>
    <row r="22" spans="1:12" s="89" customFormat="1" ht="15.75" customHeight="1" x14ac:dyDescent="0.3">
      <c r="A22" s="89" t="s">
        <v>222</v>
      </c>
      <c r="B22" s="97">
        <v>12.53</v>
      </c>
      <c r="C22" s="97">
        <v>10.15</v>
      </c>
      <c r="D22" s="97">
        <v>5.2</v>
      </c>
      <c r="E22" s="97">
        <v>5.3</v>
      </c>
      <c r="F22" s="97" t="s">
        <v>111</v>
      </c>
      <c r="G22" s="97"/>
    </row>
    <row r="23" spans="1:12" s="89" customFormat="1" ht="15.75" customHeight="1" x14ac:dyDescent="0.3">
      <c r="A23" s="89" t="s">
        <v>223</v>
      </c>
      <c r="B23" s="97">
        <v>13.12</v>
      </c>
      <c r="C23" s="97">
        <v>9.2799999999999994</v>
      </c>
      <c r="D23" s="97">
        <v>5.2</v>
      </c>
      <c r="E23" s="97">
        <v>5.0999999999999996</v>
      </c>
      <c r="F23" s="97"/>
      <c r="G23" s="97"/>
    </row>
    <row r="24" spans="1:12" s="89" customFormat="1" ht="15.75" customHeight="1" x14ac:dyDescent="0.3"/>
    <row r="25" spans="1:12" s="89" customFormat="1" ht="15.75" customHeight="1" thickBot="1" x14ac:dyDescent="0.35">
      <c r="A25" s="98" t="s">
        <v>224</v>
      </c>
      <c r="B25" s="98"/>
      <c r="C25" s="98"/>
      <c r="D25" s="98"/>
      <c r="E25" s="98"/>
      <c r="F25" s="98"/>
      <c r="G25" s="98"/>
      <c r="H25" s="98"/>
      <c r="I25" s="98"/>
      <c r="J25" s="98"/>
      <c r="K25" s="98"/>
      <c r="L25" s="98"/>
    </row>
    <row r="26" spans="1:12" s="89" customFormat="1" ht="15.75" customHeight="1" x14ac:dyDescent="0.3"/>
    <row r="27" spans="1:12" s="89" customFormat="1" ht="15.75" customHeight="1" x14ac:dyDescent="0.3">
      <c r="A27" s="117" t="s">
        <v>225</v>
      </c>
      <c r="B27" s="117"/>
      <c r="C27" s="117"/>
      <c r="D27" s="117"/>
      <c r="E27" s="117"/>
      <c r="F27" s="92"/>
      <c r="G27" s="92"/>
      <c r="H27" s="92" t="s">
        <v>226</v>
      </c>
      <c r="I27" s="92"/>
      <c r="J27" s="92"/>
      <c r="K27" s="92"/>
      <c r="L27" s="92"/>
    </row>
    <row r="28" spans="1:12" s="89" customFormat="1" ht="15.75" customHeight="1" x14ac:dyDescent="0.3">
      <c r="A28" s="119" t="s">
        <v>227</v>
      </c>
      <c r="B28" s="119"/>
      <c r="C28" s="119"/>
      <c r="D28" s="119"/>
      <c r="E28" s="119"/>
      <c r="F28" s="119"/>
      <c r="G28" s="93"/>
    </row>
    <row r="29" spans="1:12" s="89" customFormat="1" ht="15.75" customHeight="1" x14ac:dyDescent="0.3">
      <c r="A29" s="119" t="s">
        <v>228</v>
      </c>
      <c r="B29" s="115"/>
      <c r="C29" s="115"/>
      <c r="D29" s="115"/>
      <c r="E29" s="115"/>
      <c r="F29" s="93"/>
      <c r="G29" s="93"/>
    </row>
    <row r="30" spans="1:12" s="89" customFormat="1" ht="15.75" customHeight="1" thickBot="1" x14ac:dyDescent="0.35">
      <c r="A30" s="118" t="s">
        <v>210</v>
      </c>
      <c r="B30" s="118"/>
      <c r="C30" s="118"/>
      <c r="D30" s="118"/>
      <c r="E30" s="118"/>
      <c r="F30" s="94"/>
      <c r="G30" s="93"/>
    </row>
    <row r="31" spans="1:12" s="89" customFormat="1" ht="15.75" customHeight="1" x14ac:dyDescent="0.3"/>
    <row r="32" spans="1:12" s="89" customFormat="1" ht="15.75" customHeight="1" x14ac:dyDescent="0.3">
      <c r="A32" s="89" t="s">
        <v>211</v>
      </c>
      <c r="B32" s="89">
        <v>2022</v>
      </c>
      <c r="C32" s="89">
        <v>2023</v>
      </c>
      <c r="D32" s="89">
        <v>2024</v>
      </c>
      <c r="E32" s="89">
        <v>2025</v>
      </c>
      <c r="F32" s="89">
        <v>2026</v>
      </c>
    </row>
    <row r="33" spans="1:12" s="89" customFormat="1" ht="15.75" customHeight="1" x14ac:dyDescent="0.3">
      <c r="A33" s="96">
        <v>3</v>
      </c>
    </row>
    <row r="34" spans="1:12" s="89" customFormat="1" ht="15.75" customHeight="1" x14ac:dyDescent="0.3">
      <c r="A34" s="89" t="s">
        <v>212</v>
      </c>
      <c r="B34" s="97">
        <v>4.37</v>
      </c>
      <c r="C34" s="97">
        <v>12.83</v>
      </c>
      <c r="D34" s="97">
        <v>12.4</v>
      </c>
      <c r="E34" s="97">
        <v>9.24</v>
      </c>
      <c r="F34" s="97">
        <v>10.08</v>
      </c>
      <c r="G34" s="97"/>
    </row>
    <row r="35" spans="1:12" s="89" customFormat="1" ht="15.75" customHeight="1" x14ac:dyDescent="0.3">
      <c r="A35" s="89" t="s">
        <v>213</v>
      </c>
      <c r="B35" s="97">
        <v>5.26</v>
      </c>
      <c r="C35" s="97">
        <v>13.07</v>
      </c>
      <c r="D35" s="97">
        <v>12.23</v>
      </c>
      <c r="E35" s="97">
        <v>9.2899999999999991</v>
      </c>
      <c r="F35" s="97">
        <v>11.14</v>
      </c>
      <c r="G35" s="97"/>
    </row>
    <row r="36" spans="1:12" s="89" customFormat="1" ht="15.75" customHeight="1" x14ac:dyDescent="0.3">
      <c r="A36" s="89" t="s">
        <v>214</v>
      </c>
      <c r="B36" s="97">
        <v>6.35</v>
      </c>
      <c r="C36" s="97">
        <v>13.01</v>
      </c>
      <c r="D36" s="97">
        <v>11.83</v>
      </c>
      <c r="E36" s="97">
        <v>9.33</v>
      </c>
      <c r="F36" s="97">
        <v>11.65</v>
      </c>
      <c r="G36" s="97"/>
    </row>
    <row r="37" spans="1:12" s="89" customFormat="1" ht="15.75" customHeight="1" x14ac:dyDescent="0.3">
      <c r="A37" s="89" t="s">
        <v>215</v>
      </c>
      <c r="B37" s="97">
        <v>6.46</v>
      </c>
      <c r="C37" s="97">
        <v>13.15</v>
      </c>
      <c r="D37" s="97">
        <v>11.56</v>
      </c>
      <c r="E37" s="97">
        <v>9.39</v>
      </c>
      <c r="F37" s="97">
        <v>12.12</v>
      </c>
      <c r="G37" s="97"/>
    </row>
    <row r="38" spans="1:12" s="89" customFormat="1" ht="15.75" customHeight="1" x14ac:dyDescent="0.3">
      <c r="A38" s="89" t="s">
        <v>216</v>
      </c>
      <c r="B38" s="97">
        <v>7.23</v>
      </c>
      <c r="C38" s="97">
        <v>13.24</v>
      </c>
      <c r="D38" s="97">
        <v>11.17</v>
      </c>
      <c r="E38" s="97">
        <v>9.14</v>
      </c>
      <c r="F38" s="97">
        <v>11.91</v>
      </c>
      <c r="G38" s="97"/>
    </row>
    <row r="39" spans="1:12" s="89" customFormat="1" ht="15.75" customHeight="1" x14ac:dyDescent="0.3">
      <c r="A39" s="89" t="s">
        <v>217</v>
      </c>
      <c r="B39" s="97">
        <v>8.33</v>
      </c>
      <c r="C39" s="97">
        <v>13.25</v>
      </c>
      <c r="D39" s="97">
        <v>10.87</v>
      </c>
      <c r="E39" s="97">
        <v>9.11</v>
      </c>
      <c r="F39" s="97">
        <v>12.15</v>
      </c>
      <c r="G39" s="97"/>
    </row>
    <row r="40" spans="1:12" s="89" customFormat="1" ht="15.75" customHeight="1" x14ac:dyDescent="0.3">
      <c r="A40" s="89" t="s">
        <v>218</v>
      </c>
      <c r="B40" s="97">
        <v>9.2799999999999994</v>
      </c>
      <c r="C40" s="97">
        <v>13.11</v>
      </c>
      <c r="D40" s="97">
        <v>10.52</v>
      </c>
      <c r="E40" s="97">
        <v>9.02</v>
      </c>
      <c r="F40" s="97">
        <v>12.48</v>
      </c>
      <c r="G40" s="97"/>
    </row>
    <row r="41" spans="1:12" s="89" customFormat="1" ht="15.75" customHeight="1" x14ac:dyDescent="0.3">
      <c r="A41" s="89" t="s">
        <v>219</v>
      </c>
      <c r="B41" s="97">
        <v>9.98</v>
      </c>
      <c r="C41" s="97">
        <v>13.11</v>
      </c>
      <c r="D41" s="97">
        <v>10.18</v>
      </c>
      <c r="E41" s="97">
        <v>9.18</v>
      </c>
      <c r="F41" s="97">
        <v>12.09</v>
      </c>
      <c r="G41" s="97"/>
    </row>
    <row r="42" spans="1:12" s="89" customFormat="1" ht="15.75" customHeight="1" x14ac:dyDescent="0.3">
      <c r="A42" s="89" t="s">
        <v>220</v>
      </c>
      <c r="B42" s="97">
        <v>10.71</v>
      </c>
      <c r="C42" s="97">
        <v>13.09</v>
      </c>
      <c r="D42" s="97">
        <v>9.7200000000000006</v>
      </c>
      <c r="E42" s="97">
        <v>9.2100000000000009</v>
      </c>
      <c r="F42" s="97">
        <v>12.24</v>
      </c>
      <c r="G42" s="97"/>
    </row>
    <row r="43" spans="1:12" s="89" customFormat="1" ht="15.75" customHeight="1" x14ac:dyDescent="0.3">
      <c r="A43" s="89" t="s">
        <v>221</v>
      </c>
      <c r="B43" s="97">
        <v>11.45</v>
      </c>
      <c r="C43" s="97">
        <v>13.09</v>
      </c>
      <c r="D43" s="97">
        <v>9.4499999999999993</v>
      </c>
      <c r="E43" s="97">
        <v>9.2799999999999994</v>
      </c>
      <c r="F43" s="97" t="s">
        <v>111</v>
      </c>
      <c r="G43" s="97"/>
    </row>
    <row r="44" spans="1:12" s="89" customFormat="1" ht="15.75" customHeight="1" x14ac:dyDescent="0.3">
      <c r="A44" s="89" t="s">
        <v>222</v>
      </c>
      <c r="B44" s="97">
        <v>11.72</v>
      </c>
      <c r="C44" s="97">
        <v>12.92</v>
      </c>
      <c r="D44" s="97">
        <v>9.25</v>
      </c>
      <c r="E44" s="97">
        <v>9.4700000000000006</v>
      </c>
      <c r="F44" s="97" t="s">
        <v>111</v>
      </c>
      <c r="G44" s="97"/>
    </row>
    <row r="45" spans="1:12" s="89" customFormat="1" ht="15.75" customHeight="1" x14ac:dyDescent="0.3">
      <c r="A45" s="89" t="s">
        <v>223</v>
      </c>
      <c r="B45" s="97">
        <v>12.36</v>
      </c>
      <c r="C45" s="97">
        <v>12.71</v>
      </c>
      <c r="D45" s="97">
        <v>9.4</v>
      </c>
      <c r="E45" s="97">
        <v>9.8800000000000008</v>
      </c>
      <c r="F45" s="97" t="s">
        <v>111</v>
      </c>
      <c r="G45" s="97"/>
    </row>
    <row r="46" spans="1:12" s="89" customFormat="1" ht="15.75" customHeight="1" x14ac:dyDescent="0.3">
      <c r="A46" s="95"/>
      <c r="B46" s="99"/>
      <c r="C46" s="99"/>
      <c r="D46" s="99"/>
      <c r="E46" s="99"/>
      <c r="F46" s="95"/>
      <c r="G46" s="99"/>
      <c r="H46" s="95"/>
      <c r="I46" s="95"/>
      <c r="J46" s="95"/>
      <c r="K46" s="95"/>
      <c r="L46" s="95"/>
    </row>
    <row r="47" spans="1:12" s="89" customFormat="1" ht="15.75" customHeight="1" thickBot="1" x14ac:dyDescent="0.35">
      <c r="A47" s="100" t="s">
        <v>229</v>
      </c>
      <c r="B47" s="101"/>
      <c r="C47" s="101"/>
      <c r="D47" s="101"/>
      <c r="E47" s="101"/>
      <c r="F47" s="100"/>
      <c r="G47" s="101"/>
      <c r="H47" s="100"/>
      <c r="I47" s="100"/>
      <c r="J47" s="100"/>
      <c r="K47" s="100"/>
      <c r="L47" s="100"/>
    </row>
    <row r="48" spans="1:12" s="89" customFormat="1" ht="15.75" customHeight="1" x14ac:dyDescent="0.3">
      <c r="B48" s="97"/>
      <c r="C48" s="97"/>
      <c r="D48" s="97"/>
      <c r="E48" s="97"/>
      <c r="G48" s="97"/>
      <c r="H48" s="89" t="s">
        <v>164</v>
      </c>
    </row>
    <row r="49" spans="1:12" s="89" customFormat="1" ht="15.75" customHeight="1" x14ac:dyDescent="0.3">
      <c r="A49" s="117" t="s">
        <v>230</v>
      </c>
      <c r="B49" s="117"/>
      <c r="C49" s="117"/>
      <c r="D49" s="117"/>
      <c r="E49" s="117"/>
      <c r="F49" s="92"/>
      <c r="G49" s="92"/>
      <c r="H49" s="92" t="s">
        <v>231</v>
      </c>
      <c r="I49" s="92"/>
      <c r="J49" s="92"/>
      <c r="K49" s="92"/>
      <c r="L49" s="92"/>
    </row>
    <row r="50" spans="1:12" s="89" customFormat="1" ht="15.75" customHeight="1" x14ac:dyDescent="0.3">
      <c r="A50" s="115" t="s">
        <v>232</v>
      </c>
      <c r="B50" s="115"/>
      <c r="C50" s="115"/>
      <c r="D50" s="115"/>
      <c r="E50" s="115"/>
      <c r="F50" s="93"/>
      <c r="G50" s="93"/>
    </row>
    <row r="51" spans="1:12" s="89" customFormat="1" ht="15.75" customHeight="1" x14ac:dyDescent="0.3">
      <c r="A51" s="115" t="s">
        <v>233</v>
      </c>
      <c r="B51" s="115"/>
      <c r="C51" s="115"/>
      <c r="D51" s="115"/>
      <c r="E51" s="115"/>
      <c r="F51" s="93"/>
      <c r="G51" s="93"/>
    </row>
    <row r="52" spans="1:12" s="89" customFormat="1" ht="15.75" customHeight="1" thickBot="1" x14ac:dyDescent="0.35">
      <c r="A52" s="120" t="s">
        <v>234</v>
      </c>
      <c r="B52" s="121"/>
      <c r="C52" s="121"/>
      <c r="D52" s="121"/>
      <c r="E52" s="121"/>
      <c r="F52" s="102"/>
      <c r="G52" s="91"/>
      <c r="H52" s="119"/>
      <c r="I52" s="115"/>
      <c r="J52" s="115"/>
      <c r="K52" s="115"/>
      <c r="L52" s="115"/>
    </row>
    <row r="53" spans="1:12" s="89" customFormat="1" ht="15.75" customHeight="1" x14ac:dyDescent="0.3"/>
    <row r="54" spans="1:12" s="89" customFormat="1" ht="15.75" customHeight="1" x14ac:dyDescent="0.3">
      <c r="A54" s="89" t="s">
        <v>211</v>
      </c>
      <c r="B54" s="89">
        <v>2022</v>
      </c>
      <c r="C54" s="89">
        <v>2023</v>
      </c>
      <c r="D54" s="89">
        <v>2024</v>
      </c>
      <c r="E54" s="89">
        <v>2025</v>
      </c>
      <c r="F54" s="89">
        <v>2026</v>
      </c>
    </row>
    <row r="55" spans="1:12" s="89" customFormat="1" ht="15.75" customHeight="1" x14ac:dyDescent="0.3">
      <c r="A55" s="96">
        <v>4</v>
      </c>
    </row>
    <row r="56" spans="1:12" s="89" customFormat="1" ht="15.75" customHeight="1" x14ac:dyDescent="0.3">
      <c r="A56" s="89" t="s">
        <v>212</v>
      </c>
      <c r="B56" s="103">
        <v>3982.6</v>
      </c>
      <c r="C56" s="103">
        <v>4632.2</v>
      </c>
      <c r="D56" s="103">
        <v>3925.6</v>
      </c>
      <c r="E56" s="103">
        <v>4170.01</v>
      </c>
      <c r="F56" s="103">
        <v>3670.47</v>
      </c>
      <c r="G56" s="97"/>
      <c r="H56" s="122"/>
      <c r="I56" s="122"/>
      <c r="J56" s="122"/>
      <c r="K56" s="122"/>
      <c r="L56" s="122"/>
    </row>
    <row r="57" spans="1:12" s="89" customFormat="1" ht="15.75" customHeight="1" x14ac:dyDescent="0.3">
      <c r="A57" s="89" t="s">
        <v>213</v>
      </c>
      <c r="B57" s="103">
        <v>3910.64</v>
      </c>
      <c r="C57" s="103">
        <v>4808.1400000000003</v>
      </c>
      <c r="D57" s="103">
        <v>3933.56</v>
      </c>
      <c r="E57" s="103">
        <v>4120.1099999999997</v>
      </c>
      <c r="F57" s="103">
        <v>3766.3</v>
      </c>
      <c r="G57" s="97"/>
    </row>
    <row r="58" spans="1:12" s="89" customFormat="1" ht="15.75" customHeight="1" x14ac:dyDescent="0.3">
      <c r="A58" s="89" t="s">
        <v>214</v>
      </c>
      <c r="B58" s="103">
        <v>3748.15</v>
      </c>
      <c r="C58" s="103">
        <v>4627.2700000000004</v>
      </c>
      <c r="D58" s="103">
        <v>3842.3</v>
      </c>
      <c r="E58" s="103">
        <v>4192.57</v>
      </c>
      <c r="F58" s="103">
        <v>3669.96</v>
      </c>
      <c r="G58" s="97"/>
    </row>
    <row r="59" spans="1:12" s="89" customFormat="1" ht="15.75" customHeight="1" x14ac:dyDescent="0.3">
      <c r="A59" s="89" t="s">
        <v>215</v>
      </c>
      <c r="B59" s="103">
        <v>3966.27</v>
      </c>
      <c r="C59" s="103">
        <v>4669</v>
      </c>
      <c r="D59" s="103">
        <v>3873.44</v>
      </c>
      <c r="E59" s="103">
        <v>4198.83</v>
      </c>
      <c r="F59" s="103">
        <v>3621.86</v>
      </c>
      <c r="G59" s="97"/>
    </row>
    <row r="60" spans="1:12" s="89" customFormat="1" ht="15.75" customHeight="1" x14ac:dyDescent="0.3">
      <c r="A60" s="89" t="s">
        <v>216</v>
      </c>
      <c r="B60" s="103">
        <v>3912.34</v>
      </c>
      <c r="C60" s="103">
        <v>4408.6499999999996</v>
      </c>
      <c r="D60" s="103">
        <v>3874.32</v>
      </c>
      <c r="E60" s="103">
        <v>4148.72</v>
      </c>
      <c r="F60" s="103">
        <v>3678.15</v>
      </c>
      <c r="G60" s="97"/>
    </row>
    <row r="61" spans="1:12" s="89" customFormat="1" ht="15.75" customHeight="1" x14ac:dyDescent="0.3">
      <c r="A61" s="89" t="s">
        <v>217</v>
      </c>
      <c r="B61" s="103">
        <v>4127.47</v>
      </c>
      <c r="C61" s="103">
        <v>4191.28</v>
      </c>
      <c r="D61" s="103">
        <v>4148.04</v>
      </c>
      <c r="E61" s="103">
        <v>4069.67</v>
      </c>
      <c r="F61" s="103">
        <v>3443.59</v>
      </c>
      <c r="G61" s="97"/>
    </row>
    <row r="62" spans="1:12" s="89" customFormat="1" ht="15.75" customHeight="1" x14ac:dyDescent="0.3">
      <c r="A62" s="89" t="s">
        <v>218</v>
      </c>
      <c r="B62" s="103">
        <v>4300.3</v>
      </c>
      <c r="C62" s="103">
        <v>3923.49</v>
      </c>
      <c r="D62" s="103">
        <v>4089.05</v>
      </c>
      <c r="E62" s="103">
        <v>4179.6899999999996</v>
      </c>
      <c r="F62" s="103">
        <v>3132.42</v>
      </c>
      <c r="G62" s="97"/>
    </row>
    <row r="63" spans="1:12" s="89" customFormat="1" ht="15.75" customHeight="1" x14ac:dyDescent="0.3">
      <c r="A63" s="89" t="s">
        <v>219</v>
      </c>
      <c r="B63" s="103">
        <v>4400.16</v>
      </c>
      <c r="C63" s="103">
        <v>4085.33</v>
      </c>
      <c r="D63" s="103">
        <v>4160.3100000000004</v>
      </c>
      <c r="E63" s="103">
        <v>4018.41</v>
      </c>
      <c r="F63" s="103">
        <v>3202.79</v>
      </c>
      <c r="G63" s="97"/>
    </row>
    <row r="64" spans="1:12" s="89" customFormat="1" ht="15.75" customHeight="1" x14ac:dyDescent="0.3">
      <c r="A64" s="89" t="s">
        <v>220</v>
      </c>
      <c r="B64" s="103">
        <v>4532.07</v>
      </c>
      <c r="C64" s="103">
        <v>4053.76</v>
      </c>
      <c r="D64" s="103">
        <v>4164.21</v>
      </c>
      <c r="E64" s="103">
        <v>3901.29</v>
      </c>
      <c r="F64" s="103">
        <v>3341.23</v>
      </c>
      <c r="G64" s="97"/>
    </row>
    <row r="65" spans="1:12" s="89" customFormat="1" ht="15.75" customHeight="1" x14ac:dyDescent="0.3">
      <c r="A65" s="89" t="s">
        <v>221</v>
      </c>
      <c r="B65" s="103">
        <v>4819.12</v>
      </c>
      <c r="C65" s="103">
        <v>4060.83</v>
      </c>
      <c r="D65" s="103">
        <v>4413.46</v>
      </c>
      <c r="E65" s="103">
        <v>3870.42</v>
      </c>
      <c r="F65" s="103" t="s">
        <v>111</v>
      </c>
      <c r="G65" s="97"/>
    </row>
    <row r="66" spans="1:12" s="89" customFormat="1" ht="15.75" customHeight="1" x14ac:dyDescent="0.3">
      <c r="A66" s="89" t="s">
        <v>222</v>
      </c>
      <c r="B66" s="103">
        <v>4809.51</v>
      </c>
      <c r="C66" s="103">
        <v>3980.67</v>
      </c>
      <c r="D66" s="103">
        <v>4419.59</v>
      </c>
      <c r="E66" s="103">
        <v>3744.43</v>
      </c>
      <c r="F66" s="103" t="s">
        <v>111</v>
      </c>
      <c r="G66" s="97"/>
    </row>
    <row r="67" spans="1:12" s="89" customFormat="1" ht="15.75" customHeight="1" x14ac:dyDescent="0.3">
      <c r="A67" s="89" t="s">
        <v>223</v>
      </c>
      <c r="B67" s="103">
        <v>4810.2</v>
      </c>
      <c r="C67" s="103">
        <v>3822.05</v>
      </c>
      <c r="D67" s="103">
        <v>4409.1499999999996</v>
      </c>
      <c r="E67" s="103">
        <v>3757.08</v>
      </c>
      <c r="F67" s="103" t="s">
        <v>111</v>
      </c>
      <c r="G67" s="97"/>
    </row>
    <row r="68" spans="1:12" s="89" customFormat="1" ht="15.75" customHeight="1" x14ac:dyDescent="0.3">
      <c r="B68" s="97"/>
      <c r="C68" s="97"/>
    </row>
    <row r="69" spans="1:12" s="89" customFormat="1" ht="15.75" customHeight="1" thickBot="1" x14ac:dyDescent="0.35">
      <c r="A69" s="98" t="s">
        <v>235</v>
      </c>
      <c r="B69" s="98"/>
      <c r="C69" s="104"/>
      <c r="D69" s="104"/>
      <c r="E69" s="98"/>
      <c r="F69" s="98"/>
      <c r="G69" s="98"/>
      <c r="H69" s="98"/>
      <c r="I69" s="98"/>
      <c r="J69" s="98"/>
      <c r="K69" s="98"/>
      <c r="L69" s="98"/>
    </row>
    <row r="70" spans="1:12" s="89" customFormat="1" ht="15.75" customHeight="1" x14ac:dyDescent="0.3">
      <c r="C70" s="97"/>
      <c r="D70" s="97"/>
    </row>
    <row r="71" spans="1:12" s="89" customFormat="1" ht="15.75" customHeight="1" x14ac:dyDescent="0.3">
      <c r="A71" s="117" t="s">
        <v>236</v>
      </c>
      <c r="B71" s="117"/>
      <c r="C71" s="117"/>
      <c r="D71" s="117"/>
      <c r="E71" s="117"/>
      <c r="F71" s="92"/>
      <c r="G71" s="92"/>
      <c r="H71" s="92" t="s">
        <v>237</v>
      </c>
      <c r="I71" s="92"/>
      <c r="J71" s="92"/>
      <c r="K71" s="92"/>
      <c r="L71" s="92"/>
    </row>
    <row r="72" spans="1:12" s="89" customFormat="1" ht="15.75" customHeight="1" x14ac:dyDescent="0.3">
      <c r="A72" s="115" t="s">
        <v>238</v>
      </c>
      <c r="B72" s="115"/>
      <c r="C72" s="115"/>
      <c r="D72" s="115"/>
      <c r="E72" s="115"/>
      <c r="F72" s="93"/>
      <c r="G72" s="93"/>
    </row>
    <row r="73" spans="1:12" s="89" customFormat="1" ht="15.75" customHeight="1" thickBot="1" x14ac:dyDescent="0.35">
      <c r="A73" s="121" t="s">
        <v>210</v>
      </c>
      <c r="B73" s="121"/>
      <c r="C73" s="121"/>
      <c r="D73" s="121"/>
      <c r="E73" s="121"/>
      <c r="F73" s="102"/>
      <c r="G73" s="91"/>
    </row>
    <row r="74" spans="1:12" s="89" customFormat="1" ht="15.75" customHeight="1" x14ac:dyDescent="0.3">
      <c r="A74" s="89" t="s">
        <v>211</v>
      </c>
      <c r="B74" s="89">
        <v>2022</v>
      </c>
      <c r="C74" s="89">
        <v>2023</v>
      </c>
      <c r="D74" s="89">
        <v>2024</v>
      </c>
      <c r="E74" s="89">
        <v>2025</v>
      </c>
      <c r="F74" s="89">
        <v>2026</v>
      </c>
    </row>
    <row r="75" spans="1:12" s="89" customFormat="1" ht="15.75" customHeight="1" x14ac:dyDescent="0.3">
      <c r="A75" s="96">
        <v>5</v>
      </c>
    </row>
    <row r="76" spans="1:12" s="89" customFormat="1" ht="15.75" customHeight="1" x14ac:dyDescent="0.3">
      <c r="A76" s="89" t="s">
        <v>212</v>
      </c>
      <c r="B76" s="97">
        <v>11.89</v>
      </c>
      <c r="C76" s="97">
        <v>16.309999999999999</v>
      </c>
      <c r="D76" s="97">
        <v>-15.25</v>
      </c>
      <c r="E76" s="97">
        <v>6.23</v>
      </c>
      <c r="F76" s="97">
        <v>-11.98</v>
      </c>
      <c r="G76" s="97"/>
    </row>
    <row r="77" spans="1:12" s="89" customFormat="1" ht="15.75" customHeight="1" x14ac:dyDescent="0.3">
      <c r="A77" s="89" t="s">
        <v>213</v>
      </c>
      <c r="B77" s="97">
        <v>7.9</v>
      </c>
      <c r="C77" s="97">
        <v>22.95</v>
      </c>
      <c r="D77" s="97">
        <v>-18.190000000000001</v>
      </c>
      <c r="E77" s="97">
        <v>4.74</v>
      </c>
      <c r="F77" s="97">
        <v>-8.59</v>
      </c>
      <c r="G77" s="97"/>
    </row>
    <row r="78" spans="1:12" s="89" customFormat="1" ht="15.75" customHeight="1" x14ac:dyDescent="0.3">
      <c r="A78" s="89" t="s">
        <v>214</v>
      </c>
      <c r="B78" s="97">
        <v>0.3</v>
      </c>
      <c r="C78" s="97">
        <v>23.45</v>
      </c>
      <c r="D78" s="97">
        <v>-16.96</v>
      </c>
      <c r="E78" s="97">
        <v>9.1199999999999992</v>
      </c>
      <c r="F78" s="97">
        <v>-12.47</v>
      </c>
      <c r="G78" s="97"/>
    </row>
    <row r="79" spans="1:12" s="89" customFormat="1" ht="15.75" customHeight="1" x14ac:dyDescent="0.3">
      <c r="A79" s="89" t="s">
        <v>215</v>
      </c>
      <c r="B79" s="97">
        <v>6.82</v>
      </c>
      <c r="C79" s="97">
        <v>17.72</v>
      </c>
      <c r="D79" s="97">
        <v>-17.04</v>
      </c>
      <c r="E79" s="97">
        <v>8.4</v>
      </c>
      <c r="F79" s="97">
        <v>-13.74</v>
      </c>
      <c r="G79" s="97"/>
    </row>
    <row r="80" spans="1:12" s="89" customFormat="1" ht="15.75" customHeight="1" x14ac:dyDescent="0.3">
      <c r="A80" s="89" t="s">
        <v>216</v>
      </c>
      <c r="B80" s="97">
        <v>5.3</v>
      </c>
      <c r="C80" s="97">
        <v>12.69</v>
      </c>
      <c r="D80" s="97">
        <v>-12.12</v>
      </c>
      <c r="E80" s="97">
        <v>7.08</v>
      </c>
      <c r="F80" s="97">
        <v>-11.34</v>
      </c>
      <c r="G80" s="97"/>
    </row>
    <row r="81" spans="1:12" s="89" customFormat="1" ht="15.75" customHeight="1" x14ac:dyDescent="0.3">
      <c r="A81" s="89" t="s">
        <v>217</v>
      </c>
      <c r="B81" s="97">
        <v>9.8699999999999992</v>
      </c>
      <c r="C81" s="97">
        <v>1.55</v>
      </c>
      <c r="D81" s="97">
        <v>-1.03</v>
      </c>
      <c r="E81" s="97">
        <v>-1.89</v>
      </c>
      <c r="F81" s="97">
        <v>-15.38</v>
      </c>
      <c r="G81" s="97"/>
    </row>
    <row r="82" spans="1:12" s="89" customFormat="1" ht="15.75" customHeight="1" x14ac:dyDescent="0.3">
      <c r="A82" s="89" t="s">
        <v>218</v>
      </c>
      <c r="B82" s="97">
        <v>11.18</v>
      </c>
      <c r="C82" s="97">
        <v>-8.76</v>
      </c>
      <c r="D82" s="97">
        <v>4.22</v>
      </c>
      <c r="E82" s="97">
        <v>2.2200000000000002</v>
      </c>
      <c r="F82" s="97">
        <v>-25.06</v>
      </c>
      <c r="G82" s="97"/>
    </row>
    <row r="83" spans="1:12" s="89" customFormat="1" ht="15.75" customHeight="1" x14ac:dyDescent="0.3">
      <c r="A83" s="89" t="s">
        <v>219</v>
      </c>
      <c r="B83" s="97">
        <v>15.58</v>
      </c>
      <c r="C83" s="97">
        <v>-7.15</v>
      </c>
      <c r="D83" s="97">
        <v>1.84</v>
      </c>
      <c r="E83" s="97">
        <v>-3.41</v>
      </c>
      <c r="F83" s="97">
        <v>-20.3</v>
      </c>
      <c r="G83" s="97"/>
    </row>
    <row r="84" spans="1:12" s="89" customFormat="1" ht="15.75" customHeight="1" x14ac:dyDescent="0.3">
      <c r="A84" s="89" t="s">
        <v>220</v>
      </c>
      <c r="B84" s="97">
        <v>18.190000000000001</v>
      </c>
      <c r="C84" s="97">
        <v>-10.55</v>
      </c>
      <c r="D84" s="97">
        <v>2.72</v>
      </c>
      <c r="E84" s="97">
        <v>-6.31</v>
      </c>
      <c r="F84" s="97">
        <v>-14.36</v>
      </c>
      <c r="G84" s="97"/>
    </row>
    <row r="85" spans="1:12" s="89" customFormat="1" ht="15.75" customHeight="1" x14ac:dyDescent="0.3">
      <c r="A85" s="89" t="s">
        <v>221</v>
      </c>
      <c r="B85" s="97">
        <v>27.34</v>
      </c>
      <c r="C85" s="97">
        <v>-15.74</v>
      </c>
      <c r="D85" s="97">
        <v>8.68</v>
      </c>
      <c r="E85" s="97">
        <v>-12.3</v>
      </c>
      <c r="F85" s="97" t="s">
        <v>111</v>
      </c>
      <c r="G85" s="97"/>
    </row>
    <row r="86" spans="1:12" s="89" customFormat="1" ht="15.75" customHeight="1" x14ac:dyDescent="0.3">
      <c r="A86" s="89" t="s">
        <v>222</v>
      </c>
      <c r="B86" s="97">
        <v>19.91</v>
      </c>
      <c r="C86" s="97">
        <v>-17.23</v>
      </c>
      <c r="D86" s="97">
        <v>11.03</v>
      </c>
      <c r="E86" s="97">
        <v>-15.28</v>
      </c>
      <c r="F86" s="97" t="s">
        <v>111</v>
      </c>
      <c r="G86" s="97"/>
    </row>
    <row r="87" spans="1:12" s="89" customFormat="1" ht="15.75" customHeight="1" x14ac:dyDescent="0.3">
      <c r="A87" s="89" t="s">
        <v>223</v>
      </c>
      <c r="B87" s="97">
        <v>20.82</v>
      </c>
      <c r="C87" s="97">
        <v>-20.54</v>
      </c>
      <c r="D87" s="97">
        <v>15.36</v>
      </c>
      <c r="E87" s="97">
        <v>-14.79</v>
      </c>
      <c r="F87" s="97" t="s">
        <v>111</v>
      </c>
      <c r="G87" s="97"/>
    </row>
    <row r="88" spans="1:12" s="89" customFormat="1" ht="15.75" customHeight="1" x14ac:dyDescent="0.3">
      <c r="B88" s="97"/>
      <c r="C88" s="97"/>
      <c r="D88" s="97"/>
      <c r="E88" s="97"/>
      <c r="F88" s="97"/>
      <c r="G88" s="97"/>
    </row>
    <row r="89" spans="1:12" s="89" customFormat="1" ht="15.75" customHeight="1" x14ac:dyDescent="0.3">
      <c r="B89" s="97"/>
      <c r="C89" s="97"/>
      <c r="D89" s="97"/>
      <c r="E89" s="97"/>
      <c r="F89" s="97"/>
      <c r="G89" s="97"/>
    </row>
    <row r="90" spans="1:12" s="89" customFormat="1" ht="15.75" customHeight="1" thickBot="1" x14ac:dyDescent="0.35">
      <c r="A90" s="98" t="s">
        <v>235</v>
      </c>
      <c r="B90" s="104"/>
      <c r="C90" s="104"/>
      <c r="D90" s="104"/>
      <c r="E90" s="104"/>
      <c r="F90" s="104"/>
      <c r="G90" s="104"/>
      <c r="H90" s="98"/>
      <c r="I90" s="98"/>
      <c r="J90" s="98"/>
      <c r="K90" s="98"/>
      <c r="L90" s="98"/>
    </row>
    <row r="91" spans="1:12" s="89" customFormat="1" ht="15.75" customHeight="1" x14ac:dyDescent="0.3">
      <c r="B91" s="97"/>
      <c r="C91" s="97"/>
      <c r="D91" s="97"/>
      <c r="E91" s="97"/>
      <c r="F91" s="97"/>
      <c r="G91" s="97"/>
    </row>
    <row r="92" spans="1:12" s="89" customFormat="1" ht="15.75" customHeight="1" x14ac:dyDescent="0.3">
      <c r="A92" s="117" t="s">
        <v>239</v>
      </c>
      <c r="B92" s="117"/>
      <c r="C92" s="117"/>
      <c r="D92" s="117"/>
      <c r="E92" s="117"/>
      <c r="F92" s="92"/>
      <c r="G92" s="92"/>
      <c r="H92" s="92" t="s">
        <v>240</v>
      </c>
      <c r="I92" s="92"/>
      <c r="J92" s="92"/>
      <c r="K92" s="92"/>
      <c r="L92" s="92"/>
    </row>
    <row r="93" spans="1:12" s="89" customFormat="1" ht="15.75" customHeight="1" x14ac:dyDescent="0.3">
      <c r="A93" s="115" t="s">
        <v>241</v>
      </c>
      <c r="B93" s="115"/>
      <c r="C93" s="115"/>
      <c r="D93" s="115"/>
      <c r="E93" s="115"/>
      <c r="F93" s="93"/>
      <c r="G93" s="93"/>
    </row>
    <row r="94" spans="1:12" s="89" customFormat="1" ht="15.75" customHeight="1" thickBot="1" x14ac:dyDescent="0.35">
      <c r="A94" s="121" t="s">
        <v>210</v>
      </c>
      <c r="B94" s="121"/>
      <c r="C94" s="121"/>
      <c r="D94" s="121"/>
      <c r="E94" s="121"/>
      <c r="F94" s="102"/>
      <c r="G94" s="91"/>
    </row>
    <row r="95" spans="1:12" s="89" customFormat="1" ht="15.75" customHeight="1" x14ac:dyDescent="0.3"/>
    <row r="96" spans="1:12" s="89" customFormat="1" ht="15.75" customHeight="1" x14ac:dyDescent="0.3">
      <c r="A96" s="89" t="s">
        <v>242</v>
      </c>
      <c r="B96" s="105" t="s">
        <v>243</v>
      </c>
      <c r="C96" s="105" t="s">
        <v>244</v>
      </c>
      <c r="D96" s="105" t="s">
        <v>245</v>
      </c>
      <c r="E96" s="105" t="s">
        <v>246</v>
      </c>
      <c r="F96" s="105" t="s">
        <v>247</v>
      </c>
      <c r="G96" s="91"/>
    </row>
    <row r="97" spans="1:12" s="89" customFormat="1" ht="15.75" customHeight="1" x14ac:dyDescent="0.3">
      <c r="A97" s="91"/>
    </row>
    <row r="98" spans="1:12" s="89" customFormat="1" ht="15.75" customHeight="1" x14ac:dyDescent="0.3">
      <c r="A98" s="96">
        <v>2</v>
      </c>
    </row>
    <row r="99" spans="1:12" s="89" customFormat="1" ht="15.75" customHeight="1" x14ac:dyDescent="0.3">
      <c r="A99" s="106" t="s">
        <v>248</v>
      </c>
      <c r="B99" s="99">
        <v>7.6790433645437552</v>
      </c>
      <c r="C99" s="99">
        <v>2.674944025625539</v>
      </c>
      <c r="D99" s="99">
        <v>0.55915009126959747</v>
      </c>
      <c r="E99" s="99">
        <v>2.1968992188072485</v>
      </c>
      <c r="F99" s="99">
        <v>2.3930134147764233</v>
      </c>
      <c r="G99" s="107"/>
    </row>
    <row r="100" spans="1:12" s="89" customFormat="1" ht="15.75" customHeight="1" x14ac:dyDescent="0.3">
      <c r="A100" s="106" t="s">
        <v>249</v>
      </c>
      <c r="B100" s="99">
        <v>12.549059818293948</v>
      </c>
      <c r="C100" s="99">
        <v>0.43905595868866759</v>
      </c>
      <c r="D100" s="99">
        <v>1.2059714801297097</v>
      </c>
      <c r="E100" s="99">
        <v>2.28250327285433</v>
      </c>
      <c r="F100" s="99">
        <v>3.366898924540525</v>
      </c>
      <c r="G100" s="107"/>
    </row>
    <row r="101" spans="1:12" s="89" customFormat="1" ht="15.75" customHeight="1" x14ac:dyDescent="0.3">
      <c r="A101" s="106" t="s">
        <v>250</v>
      </c>
      <c r="B101" s="99">
        <v>7.3699155471282625</v>
      </c>
      <c r="C101" s="99">
        <v>-0.38501206832535828</v>
      </c>
      <c r="D101" s="99">
        <v>1.6354453943640115</v>
      </c>
      <c r="E101" s="99">
        <v>3.7804902823799349</v>
      </c>
      <c r="F101" s="99" t="s">
        <v>111</v>
      </c>
      <c r="G101" s="107"/>
    </row>
    <row r="102" spans="1:12" s="89" customFormat="1" ht="15.75" customHeight="1" x14ac:dyDescent="0.3">
      <c r="A102" s="106" t="s">
        <v>251</v>
      </c>
      <c r="B102" s="99">
        <v>2.2228250788833224</v>
      </c>
      <c r="C102" s="99">
        <v>0.67878523466029617</v>
      </c>
      <c r="D102" s="99">
        <v>2.5733746647533331</v>
      </c>
      <c r="E102" s="99">
        <v>2.0251775663378231</v>
      </c>
      <c r="F102" s="99" t="s">
        <v>111</v>
      </c>
      <c r="G102" s="107"/>
    </row>
    <row r="103" spans="1:12" s="89" customFormat="1" ht="15.75" customHeight="1" x14ac:dyDescent="0.3">
      <c r="A103" s="108"/>
      <c r="B103" s="95"/>
      <c r="C103" s="95"/>
      <c r="D103" s="95"/>
      <c r="E103" s="95"/>
      <c r="F103" s="95"/>
    </row>
    <row r="104" spans="1:12" s="89" customFormat="1" ht="15.75" customHeight="1" x14ac:dyDescent="0.3">
      <c r="A104" s="106"/>
      <c r="B104" s="97"/>
    </row>
    <row r="105" spans="1:12" s="89" customFormat="1" ht="15.75" customHeight="1" x14ac:dyDescent="0.3">
      <c r="A105" s="106"/>
      <c r="B105" s="97"/>
    </row>
    <row r="106" spans="1:12" s="89" customFormat="1" ht="15.75" customHeight="1" x14ac:dyDescent="0.3">
      <c r="A106" s="106"/>
      <c r="B106" s="97"/>
    </row>
    <row r="107" spans="1:12" s="89" customFormat="1" ht="15.75" customHeight="1" x14ac:dyDescent="0.3">
      <c r="A107" s="89" t="s">
        <v>252</v>
      </c>
      <c r="B107" s="97"/>
    </row>
    <row r="108" spans="1:12" s="89" customFormat="1" ht="15.75" customHeight="1" x14ac:dyDescent="0.3">
      <c r="B108" s="97"/>
    </row>
    <row r="109" spans="1:12" s="89" customFormat="1" ht="15.75" customHeight="1" x14ac:dyDescent="0.3">
      <c r="A109" s="109" t="s">
        <v>253</v>
      </c>
      <c r="B109" s="97"/>
      <c r="C109" s="97"/>
      <c r="D109" s="97"/>
      <c r="E109" s="97"/>
      <c r="G109" s="97"/>
    </row>
    <row r="110" spans="1:12" s="89" customFormat="1" ht="15.75" customHeight="1" x14ac:dyDescent="0.3">
      <c r="A110" s="89" t="s">
        <v>254</v>
      </c>
      <c r="B110" s="97"/>
      <c r="C110" s="97"/>
      <c r="D110" s="97"/>
      <c r="E110" s="97"/>
      <c r="G110" s="97"/>
    </row>
    <row r="111" spans="1:12" s="89" customFormat="1" ht="15.75" customHeight="1" thickBot="1" x14ac:dyDescent="0.35">
      <c r="A111" s="98" t="s">
        <v>255</v>
      </c>
      <c r="B111" s="98"/>
      <c r="C111" s="98"/>
      <c r="D111" s="98"/>
      <c r="E111" s="98"/>
      <c r="F111" s="98"/>
      <c r="G111" s="98"/>
      <c r="H111" s="98"/>
      <c r="I111" s="98"/>
      <c r="J111" s="98"/>
      <c r="K111" s="98"/>
      <c r="L111" s="98"/>
    </row>
    <row r="112" spans="1:12" s="89" customFormat="1" ht="15.75" customHeight="1" x14ac:dyDescent="0.3"/>
    <row r="113" spans="1:12" s="89" customFormat="1" ht="15.75" customHeight="1" x14ac:dyDescent="0.3">
      <c r="A113" s="117" t="s">
        <v>256</v>
      </c>
      <c r="B113" s="117"/>
      <c r="C113" s="117"/>
      <c r="D113" s="117"/>
      <c r="E113" s="117"/>
      <c r="F113" s="92"/>
      <c r="G113" s="92"/>
      <c r="H113" s="92" t="s">
        <v>257</v>
      </c>
      <c r="I113" s="92"/>
      <c r="J113" s="92"/>
      <c r="K113" s="92"/>
      <c r="L113" s="92"/>
    </row>
    <row r="114" spans="1:12" s="89" customFormat="1" ht="15.75" customHeight="1" x14ac:dyDescent="0.3">
      <c r="A114" s="115" t="s">
        <v>258</v>
      </c>
      <c r="B114" s="115"/>
      <c r="C114" s="115"/>
      <c r="D114" s="115"/>
      <c r="E114" s="115"/>
      <c r="F114" s="93"/>
      <c r="G114" s="93"/>
    </row>
    <row r="115" spans="1:12" s="89" customFormat="1" ht="15.75" customHeight="1" x14ac:dyDescent="0.3">
      <c r="A115" s="117" t="s">
        <v>259</v>
      </c>
      <c r="B115" s="117"/>
      <c r="C115" s="117"/>
      <c r="D115" s="117"/>
      <c r="E115" s="117"/>
      <c r="F115" s="91"/>
      <c r="G115" s="91"/>
    </row>
    <row r="116" spans="1:12" s="89" customFormat="1" ht="15.75" customHeight="1" thickBot="1" x14ac:dyDescent="0.35">
      <c r="A116" s="98"/>
      <c r="B116" s="102"/>
      <c r="C116" s="102" t="s">
        <v>210</v>
      </c>
      <c r="D116" s="102"/>
      <c r="E116" s="102"/>
      <c r="F116" s="102"/>
      <c r="G116" s="91"/>
    </row>
    <row r="117" spans="1:12" s="89" customFormat="1" ht="15.75" customHeight="1" x14ac:dyDescent="0.3"/>
    <row r="118" spans="1:12" s="89" customFormat="1" ht="15.75" customHeight="1" x14ac:dyDescent="0.3">
      <c r="A118" s="89" t="s">
        <v>242</v>
      </c>
      <c r="B118" s="105">
        <v>2022</v>
      </c>
      <c r="C118" s="105">
        <v>2023</v>
      </c>
      <c r="D118" s="105">
        <v>2024</v>
      </c>
      <c r="E118" s="105">
        <v>2025</v>
      </c>
      <c r="F118" s="105">
        <v>2026</v>
      </c>
      <c r="G118" s="91"/>
    </row>
    <row r="119" spans="1:12" s="89" customFormat="1" ht="15.75" customHeight="1" x14ac:dyDescent="0.3">
      <c r="A119" s="91"/>
    </row>
    <row r="120" spans="1:12" s="89" customFormat="1" ht="15.75" customHeight="1" x14ac:dyDescent="0.3">
      <c r="A120" s="96">
        <v>3</v>
      </c>
      <c r="B120" s="105">
        <v>14.65</v>
      </c>
      <c r="C120" s="105">
        <v>13.7</v>
      </c>
      <c r="D120" s="105">
        <v>12.66</v>
      </c>
      <c r="E120" s="105">
        <v>11.64</v>
      </c>
      <c r="F120" s="105">
        <v>10.86</v>
      </c>
      <c r="G120" s="108"/>
    </row>
    <row r="121" spans="1:12" s="89" customFormat="1" ht="15.75" customHeight="1" x14ac:dyDescent="0.3">
      <c r="A121" s="106" t="s">
        <v>248</v>
      </c>
      <c r="B121" s="99">
        <v>12.91</v>
      </c>
      <c r="C121" s="99">
        <v>11.35</v>
      </c>
      <c r="D121" s="99">
        <v>11.67</v>
      </c>
      <c r="E121" s="99">
        <v>10.33</v>
      </c>
      <c r="F121" s="99">
        <v>9.23</v>
      </c>
      <c r="G121" s="110"/>
    </row>
    <row r="122" spans="1:12" s="89" customFormat="1" ht="15.75" customHeight="1" x14ac:dyDescent="0.3">
      <c r="A122" s="106" t="s">
        <v>249</v>
      </c>
      <c r="B122" s="99">
        <v>12.12</v>
      </c>
      <c r="C122" s="99">
        <v>10.029999999999999</v>
      </c>
      <c r="D122" s="99">
        <v>11.29</v>
      </c>
      <c r="E122" s="99">
        <v>9.6199999999999992</v>
      </c>
      <c r="F122" s="99">
        <v>8.7899999999999991</v>
      </c>
      <c r="G122" s="110"/>
    </row>
    <row r="123" spans="1:12" s="89" customFormat="1" ht="15.75" customHeight="1" x14ac:dyDescent="0.3">
      <c r="A123" s="106" t="s">
        <v>250</v>
      </c>
      <c r="B123" s="99">
        <v>11.17</v>
      </c>
      <c r="C123" s="99">
        <v>10.72</v>
      </c>
      <c r="D123" s="99">
        <v>10.65</v>
      </c>
      <c r="E123" s="99">
        <v>8.7799999999999994</v>
      </c>
      <c r="F123" s="99">
        <v>8.7799999999999994</v>
      </c>
      <c r="G123" s="110"/>
    </row>
    <row r="124" spans="1:12" s="89" customFormat="1" ht="15.75" customHeight="1" x14ac:dyDescent="0.3">
      <c r="A124" s="106" t="s">
        <v>251</v>
      </c>
      <c r="B124" s="99">
        <v>10.65</v>
      </c>
      <c r="C124" s="99">
        <v>10.48</v>
      </c>
      <c r="D124" s="99">
        <v>10.31</v>
      </c>
      <c r="E124" s="99">
        <v>9.0399999999999991</v>
      </c>
      <c r="F124" s="99">
        <v>8.02</v>
      </c>
      <c r="G124" s="110"/>
    </row>
    <row r="125" spans="1:12" s="89" customFormat="1" ht="15.75" customHeight="1" x14ac:dyDescent="0.3">
      <c r="A125" s="106"/>
      <c r="B125" s="99">
        <v>11.26</v>
      </c>
      <c r="C125" s="99">
        <v>9.34</v>
      </c>
      <c r="D125" s="99">
        <v>10.27</v>
      </c>
      <c r="E125" s="99">
        <v>8.5500000000000007</v>
      </c>
      <c r="F125" s="99">
        <v>8.0299999999999994</v>
      </c>
    </row>
    <row r="126" spans="1:12" s="89" customFormat="1" ht="15.75" customHeight="1" x14ac:dyDescent="0.3">
      <c r="A126" s="91"/>
      <c r="B126" s="99">
        <v>10.99</v>
      </c>
      <c r="C126" s="99">
        <v>9.57</v>
      </c>
      <c r="D126" s="99">
        <v>9.92</v>
      </c>
      <c r="E126" s="99">
        <v>8.84</v>
      </c>
      <c r="F126" s="99">
        <v>8.1</v>
      </c>
    </row>
    <row r="127" spans="1:12" s="89" customFormat="1" ht="15.75" customHeight="1" x14ac:dyDescent="0.3">
      <c r="B127" s="99">
        <v>10.63</v>
      </c>
      <c r="C127" s="99">
        <v>9.2799999999999994</v>
      </c>
      <c r="D127" s="99">
        <v>9.66</v>
      </c>
      <c r="E127" s="99">
        <v>8.6</v>
      </c>
      <c r="F127" s="99">
        <v>9.36</v>
      </c>
    </row>
    <row r="128" spans="1:12" s="89" customFormat="1" ht="15.75" customHeight="1" x14ac:dyDescent="0.3">
      <c r="B128" s="99">
        <v>10.75</v>
      </c>
      <c r="C128" s="99">
        <v>9.25</v>
      </c>
      <c r="D128" s="99">
        <v>9.1300000000000008</v>
      </c>
      <c r="E128" s="99">
        <v>8.17</v>
      </c>
      <c r="F128" s="99"/>
    </row>
    <row r="129" spans="1:12" s="89" customFormat="1" ht="15.75" customHeight="1" x14ac:dyDescent="0.3">
      <c r="A129" s="109"/>
      <c r="B129" s="99">
        <v>9.7200000000000006</v>
      </c>
      <c r="C129" s="99">
        <v>9.23</v>
      </c>
      <c r="D129" s="99">
        <v>9.1300000000000008</v>
      </c>
      <c r="E129" s="99">
        <v>8.1999999999999993</v>
      </c>
      <c r="F129" s="99" t="s">
        <v>111</v>
      </c>
    </row>
    <row r="130" spans="1:12" s="89" customFormat="1" ht="15.75" customHeight="1" x14ac:dyDescent="0.3">
      <c r="B130" s="99">
        <v>9.5</v>
      </c>
      <c r="C130" s="99">
        <v>9.01</v>
      </c>
      <c r="D130" s="99">
        <v>8.17</v>
      </c>
      <c r="E130" s="99">
        <v>7.02</v>
      </c>
      <c r="F130" s="99" t="s">
        <v>111</v>
      </c>
    </row>
    <row r="131" spans="1:12" s="89" customFormat="1" ht="15.75" customHeight="1" x14ac:dyDescent="0.3">
      <c r="B131" s="99">
        <v>10.27</v>
      </c>
      <c r="C131" s="99">
        <v>10.01</v>
      </c>
      <c r="D131" s="99">
        <v>9.1300000000000008</v>
      </c>
      <c r="E131" s="99">
        <v>7.98</v>
      </c>
      <c r="F131" s="99"/>
    </row>
    <row r="132" spans="1:12" s="89" customFormat="1" ht="15.75" customHeight="1" x14ac:dyDescent="0.3">
      <c r="A132" s="89" t="s">
        <v>260</v>
      </c>
    </row>
    <row r="133" spans="1:12" s="89" customFormat="1" ht="15.75" customHeight="1" thickBot="1" x14ac:dyDescent="0.35">
      <c r="A133" s="98" t="s">
        <v>224</v>
      </c>
      <c r="B133" s="98"/>
      <c r="C133" s="98"/>
      <c r="D133" s="98"/>
      <c r="E133" s="98"/>
      <c r="F133" s="98"/>
      <c r="G133" s="98"/>
      <c r="H133" s="98"/>
      <c r="I133" s="98"/>
      <c r="J133" s="98"/>
      <c r="K133" s="98"/>
      <c r="L133" s="98"/>
    </row>
    <row r="134" spans="1:12" s="89" customFormat="1" ht="15.75" customHeight="1" x14ac:dyDescent="0.3">
      <c r="A134" s="108"/>
    </row>
    <row r="314" spans="13:13" ht="15.75" customHeight="1" x14ac:dyDescent="0.3">
      <c r="M314" s="111"/>
    </row>
    <row r="315" spans="13:13" ht="15.75" customHeight="1" x14ac:dyDescent="0.3">
      <c r="M315" s="111"/>
    </row>
    <row r="316" spans="13:13" ht="15.75" customHeight="1" x14ac:dyDescent="0.3">
      <c r="M316" s="111"/>
    </row>
    <row r="317" spans="13:13" ht="15.75" customHeight="1" x14ac:dyDescent="0.3">
      <c r="M317" s="111"/>
    </row>
    <row r="318" spans="13:13" ht="15.75" customHeight="1" x14ac:dyDescent="0.3">
      <c r="M318" s="111"/>
    </row>
    <row r="319" spans="13:13" ht="15.75" customHeight="1" x14ac:dyDescent="0.3">
      <c r="M319" s="111"/>
    </row>
    <row r="326" spans="12:13" ht="15.75" customHeight="1" x14ac:dyDescent="0.3">
      <c r="L326" s="112"/>
      <c r="M326" s="99"/>
    </row>
    <row r="327" spans="12:13" ht="15.75" customHeight="1" x14ac:dyDescent="0.3">
      <c r="L327" s="112"/>
      <c r="M327" s="99"/>
    </row>
    <row r="328" spans="12:13" ht="15.75" customHeight="1" x14ac:dyDescent="0.3">
      <c r="L328" s="112"/>
      <c r="M328" s="99"/>
    </row>
    <row r="329" spans="12:13" ht="15.75" customHeight="1" x14ac:dyDescent="0.3">
      <c r="L329" s="112"/>
      <c r="M329" s="99"/>
    </row>
    <row r="330" spans="12:13" ht="15.75" customHeight="1" x14ac:dyDescent="0.3">
      <c r="L330" s="112"/>
      <c r="M330" s="99"/>
    </row>
    <row r="331" spans="12:13" ht="15.75" customHeight="1" x14ac:dyDescent="0.3">
      <c r="L331" s="112"/>
      <c r="M331" s="99"/>
    </row>
    <row r="332" spans="12:13" ht="15.75" customHeight="1" x14ac:dyDescent="0.3">
      <c r="L332" s="112"/>
      <c r="M332" s="99"/>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51:E51"/>
    <mergeCell ref="E4:I4"/>
    <mergeCell ref="A5:E5"/>
    <mergeCell ref="A6:E6"/>
    <mergeCell ref="A7:E7"/>
    <mergeCell ref="A8:E8"/>
    <mergeCell ref="A27:E27"/>
    <mergeCell ref="A28:F28"/>
    <mergeCell ref="A29:E29"/>
    <mergeCell ref="A30:E30"/>
    <mergeCell ref="A49:E49"/>
    <mergeCell ref="A50:E50"/>
  </mergeCells>
  <pageMargins left="0.7" right="0.7" top="0.75" bottom="0.75" header="0.3" footer="0.3"/>
  <headerFooter>
    <oddFooter>&amp;C_x000D_&amp;1#&amp;"Aptos"&amp;10&amp;K000000 Uso interno</oddFooter>
  </headerFooter>
  <drawing r:id="rId1"/>
  <legacyDrawing r:id="rId2"/>
</worksheet>
</file>

<file path=docMetadata/LabelInfo.xml><?xml version="1.0" encoding="utf-8"?>
<clbl:labelList xmlns:clbl="http://schemas.microsoft.com/office/2020/mipLabelMetadata">
  <clbl:label id="{4a0a7d38-a499-400c-973b-a4b0839868a0}" enabled="1" method="Standard" siteId="{10a76712-94f6-46a2-9155-31bd8b76f93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vt:lpstr>
      <vt:lpstr>Anexo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Daza Torres</dc:creator>
  <cp:lastModifiedBy>Catherine  Espinosa Perez</cp:lastModifiedBy>
  <dcterms:created xsi:type="dcterms:W3CDTF">2026-10-08T17:36:11Z</dcterms:created>
  <dcterms:modified xsi:type="dcterms:W3CDTF">2026-10-13T20:59:04Z</dcterms:modified>
</cp:coreProperties>
</file>