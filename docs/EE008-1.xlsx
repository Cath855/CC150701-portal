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atherine Espinosa\Desktop\Proyectos\2026\CC1507-01-BANCO_ET\ETE - OLA 2 TREMIESTRE JULIO_2026\"/>
    </mc:Choice>
  </mc:AlternateContent>
  <xr:revisionPtr revIDLastSave="0" documentId="13_ncr:1_{AA65ED2A-C90B-4628-A07D-17B2F20CD11B}" xr6:coauthVersionLast="47" xr6:coauthVersionMax="47" xr10:uidLastSave="{00000000-0000-0000-0000-000000000000}"/>
  <bookViews>
    <workbookView xWindow="-110" yWindow="-110" windowWidth="19420" windowHeight="10300" xr2:uid="{00000000-000D-0000-FFFF-FFFF00000000}"/>
  </bookViews>
  <sheets>
    <sheet name="ENCUESTA" sheetId="1" r:id="rId1"/>
    <sheet name="Mes" sheetId="2" state="hidden" r:id="rId2"/>
    <sheet name="Trim" sheetId="3" state="hidden" r:id="rId3"/>
    <sheet name="ANEXO" sheetId="4" r:id="rId4"/>
  </sheets>
  <definedNames>
    <definedName name="_xlnm.Print_Area" localSheetId="3">ANEXO!$A$1:$L$133</definedName>
    <definedName name="_xlnm.Print_Area" localSheetId="0">ENCUESTA!$A$1:$I$154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3" i="1" l="1"/>
  <c r="AJ3" i="1"/>
  <c r="W3" i="1"/>
  <c r="X3" i="1"/>
  <c r="V3" i="1"/>
  <c r="U3" i="1"/>
  <c r="T3" i="1"/>
  <c r="S3" i="1"/>
  <c r="R3" i="1"/>
  <c r="Q3" i="1"/>
  <c r="BS3" i="1"/>
  <c r="BR3" i="1"/>
  <c r="BQ3" i="1"/>
  <c r="BP3" i="1"/>
  <c r="BO3" i="1"/>
  <c r="BN3" i="1"/>
  <c r="BM3" i="1"/>
  <c r="BL3" i="1"/>
  <c r="BK3" i="1"/>
  <c r="BJ3" i="1"/>
  <c r="BI3" i="1"/>
  <c r="BH3" i="1"/>
  <c r="BG3" i="1"/>
  <c r="BF3" i="1"/>
  <c r="BE3" i="1"/>
  <c r="BD3" i="1"/>
  <c r="AL3" i="1"/>
  <c r="AI3" i="1"/>
  <c r="AH3" i="1"/>
  <c r="AG3" i="1"/>
  <c r="AF3" i="1"/>
  <c r="AE3" i="1"/>
  <c r="AD3" i="1"/>
  <c r="AC3" i="1"/>
  <c r="AB3" i="1"/>
  <c r="AA3" i="1"/>
  <c r="Z3" i="1"/>
  <c r="Y3" i="1"/>
  <c r="N3" i="1"/>
  <c r="L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100-000001000000}">
      <text>
        <r>
          <rPr>
            <sz val="10"/>
            <rFont val="Arial"/>
            <family val="2"/>
          </rPr>
          <t>mroperfa:
Dario Hernández:                 T:\Estadistica\COMUNAL\Precios IPP IPC\IPCTOT.xls   (IPC2008)</t>
        </r>
      </text>
    </comment>
    <comment ref="C1" authorId="0" shapeId="0" xr:uid="{00000000-0006-0000-0100-000002000000}">
      <text>
        <r>
          <rPr>
            <sz val="10"/>
            <rFont val="Arial"/>
            <family val="2"/>
          </rPr>
          <t>mroperfa:
Adriana Torres, VER:
T:\Estadistica\COMUNAL\Tasas de Interés\Pasivas\DTF\DTF FIN DE MES 1984 HASTA LA FECHA.xls</t>
        </r>
      </text>
    </comment>
    <comment ref="D1" authorId="0" shapeId="0" xr:uid="{00000000-0006-0000-0100-000003000000}">
      <text>
        <r>
          <rPr>
            <sz val="10"/>
            <rFont val="Arial"/>
            <family val="2"/>
          </rPr>
          <t>mroperfa:
Fernando Alvares, VER:
T:\Estadistica\COMUNAL\TASA DE CAMBIO NOMINAL\TASA DIARIA SIN FESTIVOS DEFINITIVO2019.xls</t>
        </r>
      </text>
    </comment>
    <comment ref="E1" authorId="0" shapeId="0" xr:uid="{00000000-0006-0000-0100-000004000000}">
      <text>
        <r>
          <rPr>
            <sz val="10"/>
            <rFont val="Arial"/>
            <family val="2"/>
          </rPr>
          <t>mroperfa: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300-000001000000}">
      <text>
        <r>
          <rPr>
            <sz val="10"/>
            <rFont val="Arial"/>
            <family val="2"/>
          </rPr>
          <t>Modifique el año, en cada encuesta de trim I (Abril) de cada año</t>
        </r>
      </text>
    </comment>
  </commentList>
</comments>
</file>

<file path=xl/sharedStrings.xml><?xml version="1.0" encoding="utf-8"?>
<sst xmlns="http://schemas.openxmlformats.org/spreadsheetml/2006/main" count="417" uniqueCount="268">
  <si>
    <t>cod_ent</t>
  </si>
  <si>
    <t>submuestra</t>
  </si>
  <si>
    <t>ciudad</t>
  </si>
  <si>
    <t>nom_sector</t>
  </si>
  <si>
    <t>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</si>
  <si>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</si>
  <si>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</si>
  <si>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</si>
  <si>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</si>
  <si>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</si>
  <si>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</si>
  <si>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</si>
  <si>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</si>
  <si>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</si>
  <si>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</si>
  <si>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</si>
  <si>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</si>
  <si>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</si>
  <si>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</si>
  <si>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</si>
  <si>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</si>
  <si>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</si>
  <si>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</si>
  <si>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</si>
  <si>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</si>
  <si>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</si>
  <si>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</si>
  <si>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</si>
  <si>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</si>
  <si>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</si>
  <si>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</si>
  <si>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</si>
  <si>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</si>
  <si>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</si>
  <si>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</si>
  <si>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</si>
  <si>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</si>
  <si>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</si>
  <si>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</si>
  <si>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</si>
  <si>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</si>
  <si>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</si>
  <si>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</si>
  <si>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</si>
  <si>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</si>
  <si>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</si>
  <si>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</si>
  <si>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</si>
  <si>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</si>
  <si>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</si>
  <si>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</si>
  <si>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</si>
  <si>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</si>
  <si>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</si>
  <si>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</si>
  <si>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</si>
  <si>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</si>
  <si>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</si>
  <si>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</si>
  <si>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</si>
  <si>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</si>
  <si>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</si>
  <si>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</si>
  <si>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(Seleccione su respuesta)</t>
  </si>
  <si>
    <t xml:space="preserve">                                                                     </t>
  </si>
  <si>
    <t>Crédito bancario en Colombia</t>
  </si>
  <si>
    <t>ENCUESTA DE EXPECTATIVAS</t>
  </si>
  <si>
    <t xml:space="preserve">Crédito bancario en el exterior </t>
  </si>
  <si>
    <t>SUS RESPUESTAS SERÁN MANTENIDAS BAJO ESTRICTA RESERVA POR PARTE DE LA SUBGERENCIA DE POLÍTICA MONETARIA E INFORMACIÓN ECONÓMICA</t>
  </si>
  <si>
    <t>Leasing financiero, factoring</t>
  </si>
  <si>
    <t>Crédito con sus proveedores</t>
  </si>
  <si>
    <t>Por favor, conteste antes del 16 de julio de 2026</t>
  </si>
  <si>
    <t>Emisión de bonos, papeles comerciales</t>
  </si>
  <si>
    <t>Acciones</t>
  </si>
  <si>
    <t>SGPMIE - Estadística</t>
  </si>
  <si>
    <t>Teléfono:  3430832</t>
  </si>
  <si>
    <t>Dirección</t>
  </si>
  <si>
    <t>KR 7 14 78 PS 12</t>
  </si>
  <si>
    <t>Reinversión de utilidades</t>
  </si>
  <si>
    <t>Correo electrónico:</t>
  </si>
  <si>
    <t>expectativas-trim@banrep.gov.co</t>
  </si>
  <si>
    <t>Fax:    2818531 - 2865936</t>
  </si>
  <si>
    <t>Recursos propios diferentes a utilidades</t>
  </si>
  <si>
    <t>Otro tipo de financiamiento</t>
  </si>
  <si>
    <t>Utilice la  información  suministrada  y cualquiera otra que considere  relevante para responder las  preguntas.</t>
  </si>
  <si>
    <t>Nota: Si alguna de las celdas cambia de color al momento de diligenciar el formulario, debe revisar sus datos.</t>
  </si>
  <si>
    <t>I. Precios y salarios</t>
  </si>
  <si>
    <t>Inversión de largo plazo (ej.: compra de maquinaria y equipo)</t>
  </si>
  <si>
    <t xml:space="preserve">Nota: En el cuadro 1 y gráfico 1 se presenta la evolución reciente de los crecimientos anuales de los precios al consumidor, es decir, la inflacion anual. </t>
  </si>
  <si>
    <t>Refinanciación de créditos</t>
  </si>
  <si>
    <t xml:space="preserve">A mayo de 2026  la inflación anual  se situó en: </t>
  </si>
  <si>
    <t xml:space="preserve">Pago de deudas </t>
  </si>
  <si>
    <t>X</t>
  </si>
  <si>
    <t>Adquisición de inventarios, pago de salarios y/o pago a proveedores</t>
  </si>
  <si>
    <t>P1: ¿Cuál cree usted que será la tasa de inflación anual a:</t>
  </si>
  <si>
    <t>Impuestos</t>
  </si>
  <si>
    <t>Otros</t>
  </si>
  <si>
    <t>Inflación Anual</t>
  </si>
  <si>
    <t>Esperada: %</t>
  </si>
  <si>
    <t xml:space="preserve"> - Sep/2026:</t>
  </si>
  <si>
    <t>Suficiente capital propio</t>
  </si>
  <si>
    <t xml:space="preserve"> - Dic/2026:</t>
  </si>
  <si>
    <t>No cuenta con el  historial crediticio necesario</t>
  </si>
  <si>
    <t xml:space="preserve"> - Mar/2027:</t>
  </si>
  <si>
    <t>Tasas de interés altas</t>
  </si>
  <si>
    <t xml:space="preserve"> - Jun/2027:</t>
  </si>
  <si>
    <t>Incertidumbre sobre las condiciones de la economia y/o sector</t>
  </si>
  <si>
    <t xml:space="preserve"> - Jun/2028:</t>
  </si>
  <si>
    <t>Intención por reducir el nivel de endeudamiento de la empresa</t>
  </si>
  <si>
    <t xml:space="preserve"> - Jun/2031:</t>
  </si>
  <si>
    <t>Incremento en los requisitos y garantías exigidas para obtener un crédito</t>
  </si>
  <si>
    <t>Piensa que el crédito no va a ser aprobado</t>
  </si>
  <si>
    <t xml:space="preserve">P2: ¿Cuánto prevé usted que será el incremento salarial promedio anual en términos porcentuales de su empresa para el: </t>
  </si>
  <si>
    <t>Tiene otro tipo de financiamiento (ej.: crédito proveedores/particulares)</t>
  </si>
  <si>
    <t>Cuanto  %</t>
  </si>
  <si>
    <t>No aplica</t>
  </si>
  <si>
    <t xml:space="preserve"> - Año 2026</t>
  </si>
  <si>
    <t xml:space="preserve"> - Año 2027</t>
  </si>
  <si>
    <t>II.  Condiciones monetarias y crediticias</t>
  </si>
  <si>
    <t>P3: Dada la situación actual de la economía colombiana, considera usted que :</t>
  </si>
  <si>
    <t>(Marque con una X la opción  que usted considera adecuada)</t>
  </si>
  <si>
    <t>Opciones</t>
  </si>
  <si>
    <t>Alta</t>
  </si>
  <si>
    <t>Baja</t>
  </si>
  <si>
    <t xml:space="preserve">Ninguna de </t>
  </si>
  <si>
    <t>No</t>
  </si>
  <si>
    <t>las anteriores</t>
  </si>
  <si>
    <t>Responde</t>
  </si>
  <si>
    <t xml:space="preserve"> La disponibilidad de crédito es</t>
  </si>
  <si>
    <t>P4: ¿Cómo cree usted que se mantendrá durante los próximos seis meses (Jul./2026 - Dic./2026):</t>
  </si>
  <si>
    <t>Superior</t>
  </si>
  <si>
    <t xml:space="preserve">Inferior </t>
  </si>
  <si>
    <t xml:space="preserve">Ningún cambio </t>
  </si>
  <si>
    <t>a la actual</t>
  </si>
  <si>
    <t>significativo</t>
  </si>
  <si>
    <t xml:space="preserve"> La disponibilidad de crédito</t>
  </si>
  <si>
    <t>III. Tasas de interés y devaluación</t>
  </si>
  <si>
    <t>Nota: En el cuadro  2 y gráfico 2 se presenta la evolución de la tasa efectiva anual del indicador bancario de referencia (IBR) a tres meses. En los cuadros y gráficos 3 y 4 se</t>
  </si>
  <si>
    <t xml:space="preserve">presenta el nivel de la tasa de cambio  y  la  devaluación  anual,  respectivamente. </t>
  </si>
  <si>
    <t xml:space="preserve">A junio de 2026 el IBR a tres meses efectivo anual se situó en : </t>
  </si>
  <si>
    <t xml:space="preserve">P51: ¿Como cree usted que evolucionará el IBR a tres meses para las fechas propuestas a continuación? </t>
  </si>
  <si>
    <t xml:space="preserve">Valor esperado </t>
  </si>
  <si>
    <t>IBR: %</t>
  </si>
  <si>
    <t>P6: ¿Cúal cree usted que será el valor de la tasa representativa del mercado (valor del dólar) a fin de:</t>
  </si>
  <si>
    <t>Tasa de Cambio</t>
  </si>
  <si>
    <t>Esperada: (Pesos x 1 US)</t>
  </si>
  <si>
    <t>IV.  Actividad económica y empleo</t>
  </si>
  <si>
    <t xml:space="preserve">Nota: En el cuadro 5 y gráfico 5 se presenta el crecimiento anual de la economía (variación anual del PIB real).  El comportamiento de la tasa de desempleo </t>
  </si>
  <si>
    <t>de la economía se presenta en el cuadro 6 y gráfico 6.</t>
  </si>
  <si>
    <t>P7: ¿Cuanto cree usted que será el crecimiento porcentual anual de la economía?</t>
  </si>
  <si>
    <t xml:space="preserve">Tasa de </t>
  </si>
  <si>
    <t>Crecimiento</t>
  </si>
  <si>
    <t>P8: Con relación a la planta de personal actual (incluya empleados permanentes y temporales) considera que su empresa podría:</t>
  </si>
  <si>
    <t xml:space="preserve">      (Marque con una X la opción que usted considera adecuada)</t>
  </si>
  <si>
    <t>Aumentarla</t>
  </si>
  <si>
    <t>Disminuirla</t>
  </si>
  <si>
    <t>Mantenerla</t>
  </si>
  <si>
    <t xml:space="preserve"> Período:   (Oct/2026 - Dic/2026)</t>
  </si>
  <si>
    <t xml:space="preserve"> Período:   (Ene/2027 - Jun/2027)</t>
  </si>
  <si>
    <t>V.  Estructura de financiamiento</t>
  </si>
  <si>
    <t>P9: Indique la principal fuente de financiación de su empresa en el período Ene/2026 - Jun/2026</t>
  </si>
  <si>
    <t xml:space="preserve"> </t>
  </si>
  <si>
    <t>Opción</t>
  </si>
  <si>
    <t>P10: Su empresa solicitó crédito al sistema financiero en el período Ene/2026 - Jun/2026</t>
  </si>
  <si>
    <t xml:space="preserve">      (Marque con una X su respuesta)</t>
  </si>
  <si>
    <t>SÍ</t>
  </si>
  <si>
    <t>NO</t>
  </si>
  <si>
    <t>Nota: Si su respuesta fue SÍ responda las preguntas P11 y P12; si su respuesta fue NO responda la pregunta P13.</t>
  </si>
  <si>
    <t>P11: El crédito solicitado al sistema financiero en el período Ene/2026 - Jun/2026 fue:</t>
  </si>
  <si>
    <t>Aprobado por el total de recursos solicitado</t>
  </si>
  <si>
    <t>Aprobado por menos recursos</t>
  </si>
  <si>
    <t>No aprobado</t>
  </si>
  <si>
    <t>P12: El crédito solicitado al sector financiero en el período Ene/2026 - Jun/2026 se destinó o destinará principalmente a:</t>
  </si>
  <si>
    <t>P13: Indique la principal razón por la cual no solicitó crédito al sistema financiero en el período Ene/2026 - Jun/2026</t>
  </si>
  <si>
    <t xml:space="preserve">VI. Seguimiento de la Encuesta </t>
  </si>
  <si>
    <t>P14: Pregunta acerca de la frecuencia de sus respuestas. Marque con una X las opciones que usted considera adecuadas para cada una de las preguntas.</t>
  </si>
  <si>
    <t xml:space="preserve"> ¿Está usted contestando por primera vez esta encuesta?</t>
  </si>
  <si>
    <t xml:space="preserve"> ¿Usted contestó esta encuesta el trimestre pasado?</t>
  </si>
  <si>
    <t xml:space="preserve"> ¿Revisó sus respuestas a la encuesta anterior para contestar esta encuesta?</t>
  </si>
  <si>
    <t>¿Para el próximo trimestre, por qué medio le gustaría contestar esta encuesta?</t>
  </si>
  <si>
    <t>Fax</t>
  </si>
  <si>
    <t>Correo:</t>
  </si>
  <si>
    <t xml:space="preserve">Correo Electrónico: </t>
  </si>
  <si>
    <t>Página Web:</t>
  </si>
  <si>
    <t xml:space="preserve">INFORMACIÓN ACERCA DE QUIÉN RESPONDE  LA ENCUESTA  </t>
  </si>
  <si>
    <t>Nombre:</t>
  </si>
  <si>
    <t>MANUELITA</t>
  </si>
  <si>
    <t>Cargo</t>
  </si>
  <si>
    <t>Analista Planeación Financiera</t>
  </si>
  <si>
    <t>Entidad:</t>
  </si>
  <si>
    <t>e-mail:</t>
  </si>
  <si>
    <t>Dirección:</t>
  </si>
  <si>
    <t>Km 7 Vía El Cerrito</t>
  </si>
  <si>
    <t>Teléfono:</t>
  </si>
  <si>
    <t>6878900  3165374825  3057686256</t>
  </si>
  <si>
    <t>Ciudad:</t>
  </si>
  <si>
    <t>CALI</t>
  </si>
  <si>
    <t>Fax:</t>
  </si>
  <si>
    <t>Cód. Entidad:</t>
  </si>
  <si>
    <t>EE008-1</t>
  </si>
  <si>
    <t>Fecha: (dd/mm/aa)</t>
  </si>
  <si>
    <t>Nota:  Favor actualizar datos de identificación si los que se encuentran prediligenciados no corresponden. Gracias.</t>
  </si>
  <si>
    <t>1 A partir de la medición de abril de 2022 se pregunta por el IBR, Indicador bancario de referencia. En las mediciones anteriores se indagaba por expectativas de la tasa de interés DTF.</t>
  </si>
  <si>
    <t xml:space="preserve"> Esta tasa de interés se cambió debido a que gradualmente los créditos comerciales (a empresas) con tasa variable son atados al IBR y no a la DTF como se hacía anteriormente.</t>
  </si>
  <si>
    <t xml:space="preserve">       </t>
  </si>
  <si>
    <t xml:space="preserve">  </t>
  </si>
  <si>
    <t>Inflacion_anual</t>
  </si>
  <si>
    <t>IBR_efectiva_anual_FinD</t>
  </si>
  <si>
    <t>TRM_pesos_dólar</t>
  </si>
  <si>
    <t>Devaluacion_nominal_anual</t>
  </si>
  <si>
    <t>Tasa_desempleo_total_7_ciud</t>
  </si>
  <si>
    <t>Crecimiento_Economia</t>
  </si>
  <si>
    <t>Encuesta de expectativas - anexo 1</t>
  </si>
  <si>
    <t>Cuadro 1</t>
  </si>
  <si>
    <t>Gráfico 1</t>
  </si>
  <si>
    <t>(Var. Anual: Indice Precios al Consumidor Tot.)</t>
  </si>
  <si>
    <t>(%)</t>
  </si>
  <si>
    <t>Mes | Año</t>
  </si>
  <si>
    <t>Ene</t>
  </si>
  <si>
    <t>Feb</t>
  </si>
  <si>
    <t>Mar</t>
  </si>
  <si>
    <t>Abr</t>
  </si>
  <si>
    <t>May</t>
  </si>
  <si>
    <t>Jun</t>
  </si>
  <si>
    <t>Jul</t>
  </si>
  <si>
    <t>Ago</t>
  </si>
  <si>
    <t>Sep</t>
  </si>
  <si>
    <t>Oct</t>
  </si>
  <si>
    <t>Nov</t>
  </si>
  <si>
    <t>Dic</t>
  </si>
  <si>
    <t>Fuente: DANE</t>
  </si>
  <si>
    <t>Cuadro 2</t>
  </si>
  <si>
    <t>Gráfico 2</t>
  </si>
  <si>
    <t>Indicador bancario de referencia (IBR) - plazo a tres meses</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</si>
  <si>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</si>
  <si>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</si>
  <si>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</si>
  <si>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</si>
  <si>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</si>
  <si>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</si>
  <si>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</si>
  <si>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</si>
  <si>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</si>
  <si>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</si>
  <si>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Devaluación Nominal Anual</t>
  </si>
  <si>
    <t>Cuadro 5</t>
  </si>
  <si>
    <t>Gráfico 5</t>
  </si>
  <si>
    <t>Crecimiento de la economía</t>
  </si>
  <si>
    <t>Trim | Año</t>
  </si>
  <si>
    <t>2022(p)</t>
  </si>
  <si>
    <t>2023(p)</t>
  </si>
  <si>
    <t>2024(p)</t>
  </si>
  <si>
    <t>2025(p)</t>
  </si>
  <si>
    <t>2026(p)</t>
  </si>
  <si>
    <t>I Trim</t>
  </si>
  <si>
    <t>II Trim</t>
  </si>
  <si>
    <t>III Trim</t>
  </si>
  <si>
    <t>IV Trim</t>
  </si>
  <si>
    <t>p:  Provisional</t>
  </si>
  <si>
    <t xml:space="preserve">Fuente: DANE       (Datos 1994 hasta 2000: Base=1994 ; </t>
  </si>
  <si>
    <t xml:space="preserve">                                   Datos 2001 hasta 2005: Base=2005)</t>
  </si>
  <si>
    <t xml:space="preserve">                                   Datos 2005 hasta la fecha Base=2015)</t>
  </si>
  <si>
    <t>Cuadro 6</t>
  </si>
  <si>
    <t>Gráfico 6</t>
  </si>
  <si>
    <t xml:space="preserve">Tasa de Desempleo </t>
  </si>
  <si>
    <t>(7 ciudades)</t>
  </si>
  <si>
    <t>JDRAMIREZ@MANUELITA.COM;</t>
  </si>
  <si>
    <t>INDUSTRIA MANUFACTURERA Y MINERIA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</si>
</sst>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mmm/yyyy"/>
    <numFmt numFmtId="165" formatCode="0.0"/>
    <numFmt numFmtId="166" formatCode="#,##0_ ;\-#,##0\ "/>
    <numFmt numFmtId="167" formatCode="_ * #,##0_ ;_ * \-#,##0_ ;_ * &quot;-&quot;??_ ;_ @_ "/>
    <numFmt numFmtId="168" formatCode="_-* #,##0_-;\-* #,##0_-;_-* &quot;-&quot;??_-;_-@_-"/>
    <numFmt numFmtId="169" formatCode="#,##0.0"/>
  </numFmts>
  <fonts count="30" x14ac:knownFonts="1">
    <font>
      <sz val="10"/>
      <name val="Arial"/>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12"/>
      <color theme="0"/>
      <name val="Times New Roman"/>
      <family val="1"/>
    </font>
    <font>
      <sz val="12"/>
      <color theme="0"/>
      <name val="Times New Roman"/>
      <family val="1"/>
    </font>
    <font>
      <sz val="10"/>
      <color theme="0"/>
      <name val="Arial"/>
      <family val="2"/>
    </font>
    <font>
      <sz val="12"/>
      <color rgb="FFFF0000"/>
      <name val="Times New Roman"/>
      <family val="1"/>
    </font>
    <font>
      <sz val="10"/>
      <color rgb="FFFF0000"/>
      <name val="Arial"/>
      <family val="2"/>
    </font>
    <font>
      <b/>
      <i/>
      <sz val="14"/>
      <name val="Times New Roman"/>
      <family val="1"/>
    </font>
    <font>
      <b/>
      <sz val="10"/>
      <name val="Times New Roman"/>
      <family val="1"/>
    </font>
    <font>
      <i/>
      <sz val="10"/>
      <name val="Times New Roman"/>
      <family val="1"/>
    </font>
    <font>
      <sz val="12"/>
      <name val="Times New Roman"/>
      <family val="1"/>
    </font>
    <font>
      <b/>
      <u/>
      <sz val="18"/>
      <name val="Times New Roman"/>
      <family val="1"/>
    </font>
    <font>
      <u/>
      <sz val="18"/>
      <name val="Times New Roman"/>
      <family val="1"/>
    </font>
    <font>
      <sz val="18"/>
      <name val="Times New Roman"/>
      <family val="1"/>
    </font>
    <font>
      <b/>
      <sz val="12"/>
      <name val="Times New Roman"/>
      <family val="1"/>
    </font>
    <font>
      <u/>
      <sz val="10"/>
      <color indexed="12"/>
      <name val="Arial"/>
      <family val="2"/>
    </font>
    <font>
      <b/>
      <sz val="14"/>
      <name val="Times New Roman"/>
      <family val="1"/>
    </font>
    <font>
      <sz val="14"/>
      <name val="Times New Roman"/>
      <family val="1"/>
    </font>
    <font>
      <sz val="10"/>
      <color indexed="9"/>
      <name val="Arial"/>
      <family val="2"/>
    </font>
    <font>
      <u/>
      <sz val="10"/>
      <name val="Arial"/>
      <family val="2"/>
    </font>
    <font>
      <b/>
      <sz val="10"/>
      <name val="Arial"/>
      <family val="2"/>
    </font>
    <font>
      <sz val="10"/>
      <color theme="0"/>
      <name val="Times New Roman"/>
      <family val="1"/>
    </font>
    <font>
      <sz val="11"/>
      <name val="Times New Roman"/>
      <family val="1"/>
    </font>
    <font>
      <sz val="10"/>
      <name val="Times New Roman"/>
      <family val="1"/>
    </font>
    <font>
      <sz val="10"/>
      <color theme="1"/>
      <name val="Calibri"/>
      <family val="2"/>
      <scheme val="minor"/>
    </font>
    <font>
      <b/>
      <sz val="10"/>
      <color theme="1"/>
      <name val="Calibri"/>
      <family val="2"/>
      <scheme val="minor"/>
    </font>
    <font>
      <sz val="10"/>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22"/>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top/>
      <bottom style="medium">
        <color indexed="64"/>
      </bottom>
      <diagonal/>
    </border>
  </borders>
  <cellStyleXfs count="7">
    <xf numFmtId="0" fontId="0" fillId="0" borderId="0"/>
    <xf numFmtId="43" fontId="3" fillId="0" borderId="0"/>
    <xf numFmtId="0" fontId="3" fillId="0" borderId="0"/>
    <xf numFmtId="0" fontId="18" fillId="0" borderId="0">
      <alignment vertical="top"/>
      <protection locked="0"/>
    </xf>
    <xf numFmtId="0" fontId="3" fillId="0" borderId="0"/>
    <xf numFmtId="9" fontId="3" fillId="0" borderId="0"/>
    <xf numFmtId="43" fontId="3" fillId="0" borderId="0"/>
  </cellStyleXfs>
  <cellXfs count="158">
    <xf numFmtId="0" fontId="0" fillId="0" borderId="0" xfId="0"/>
    <xf numFmtId="0" fontId="2" fillId="0" borderId="0" xfId="2" applyFont="1"/>
    <xf numFmtId="0" fontId="3" fillId="0" borderId="0" xfId="2"/>
    <xf numFmtId="164" fontId="5" fillId="2" borderId="0" xfId="2" applyNumberFormat="1" applyFont="1" applyFill="1"/>
    <xf numFmtId="165" fontId="5" fillId="2" borderId="0" xfId="2" applyNumberFormat="1" applyFont="1" applyFill="1" applyAlignment="1">
      <alignment horizontal="center"/>
    </xf>
    <xf numFmtId="0" fontId="6" fillId="2" borderId="0" xfId="2" applyFont="1" applyFill="1"/>
    <xf numFmtId="0" fontId="5" fillId="2" borderId="0" xfId="2" applyFont="1" applyFill="1"/>
    <xf numFmtId="0" fontId="7" fillId="2" borderId="0" xfId="2" applyFont="1" applyFill="1"/>
    <xf numFmtId="0" fontId="8" fillId="2" borderId="0" xfId="2" applyFont="1" applyFill="1"/>
    <xf numFmtId="0" fontId="9" fillId="2" borderId="0" xfId="2" applyFont="1" applyFill="1"/>
    <xf numFmtId="0" fontId="6" fillId="3" borderId="0" xfId="2" applyFont="1" applyFill="1" applyAlignment="1">
      <alignment vertical="top"/>
    </xf>
    <xf numFmtId="0" fontId="6" fillId="3" borderId="0" xfId="2" applyFont="1" applyFill="1" applyAlignment="1">
      <alignment horizontal="right" vertical="top"/>
    </xf>
    <xf numFmtId="0" fontId="6" fillId="3" borderId="0" xfId="2" applyFont="1" applyFill="1"/>
    <xf numFmtId="0" fontId="6" fillId="3" borderId="0" xfId="2" applyFont="1" applyFill="1" applyAlignment="1" applyProtection="1">
      <alignment horizontal="left"/>
      <protection locked="0"/>
    </xf>
    <xf numFmtId="0" fontId="5" fillId="3" borderId="0" xfId="2" applyFont="1" applyFill="1"/>
    <xf numFmtId="0" fontId="7" fillId="3" borderId="0" xfId="2" applyFont="1" applyFill="1"/>
    <xf numFmtId="0" fontId="10" fillId="3" borderId="0" xfId="2" applyFont="1" applyFill="1" applyAlignment="1">
      <alignment horizontal="centerContinuous" vertical="top"/>
    </xf>
    <xf numFmtId="0" fontId="10" fillId="3" borderId="0" xfId="2" applyFont="1" applyFill="1" applyAlignment="1">
      <alignment horizontal="centerContinuous"/>
    </xf>
    <xf numFmtId="0" fontId="3" fillId="3" borderId="0" xfId="2" applyFill="1"/>
    <xf numFmtId="0" fontId="11" fillId="3" borderId="0" xfId="2" applyFont="1" applyFill="1" applyAlignment="1">
      <alignment horizontal="centerContinuous"/>
    </xf>
    <xf numFmtId="0" fontId="12" fillId="3" borderId="0" xfId="2" applyFont="1" applyFill="1" applyAlignment="1">
      <alignment horizontal="centerContinuous"/>
    </xf>
    <xf numFmtId="0" fontId="13" fillId="3" borderId="0" xfId="2" applyFont="1" applyFill="1" applyAlignment="1">
      <alignment horizontal="center"/>
    </xf>
    <xf numFmtId="0" fontId="14" fillId="3" borderId="0" xfId="2" applyFont="1" applyFill="1"/>
    <xf numFmtId="0" fontId="15" fillId="3" borderId="0" xfId="2" applyFont="1" applyFill="1" applyAlignment="1">
      <alignment horizontal="center"/>
    </xf>
    <xf numFmtId="0" fontId="16" fillId="3" borderId="0" xfId="2" applyFont="1" applyFill="1" applyAlignment="1">
      <alignment horizontal="center"/>
    </xf>
    <xf numFmtId="0" fontId="13" fillId="3" borderId="0" xfId="2" applyFont="1" applyFill="1"/>
    <xf numFmtId="0" fontId="17" fillId="4" borderId="0" xfId="2" applyFont="1" applyFill="1"/>
    <xf numFmtId="0" fontId="13" fillId="4" borderId="0" xfId="2" applyFont="1" applyFill="1"/>
    <xf numFmtId="0" fontId="18" fillId="4" borderId="0" xfId="3" applyFill="1" applyAlignment="1" applyProtection="1"/>
    <xf numFmtId="0" fontId="7" fillId="3" borderId="0" xfId="2" applyFont="1" applyFill="1" applyAlignment="1">
      <alignment horizontal="right"/>
    </xf>
    <xf numFmtId="0" fontId="19" fillId="3" borderId="0" xfId="2" applyFont="1" applyFill="1"/>
    <xf numFmtId="0" fontId="20" fillId="3" borderId="0" xfId="2" applyFont="1" applyFill="1"/>
    <xf numFmtId="0" fontId="6" fillId="3" borderId="0" xfId="2" applyFont="1" applyFill="1" applyAlignment="1">
      <alignment horizontal="right" vertical="top" wrapText="1"/>
    </xf>
    <xf numFmtId="0" fontId="17" fillId="3" borderId="0" xfId="2" applyFont="1" applyFill="1"/>
    <xf numFmtId="0" fontId="21" fillId="3" borderId="0" xfId="2" applyFont="1" applyFill="1"/>
    <xf numFmtId="10" fontId="13" fillId="4" borderId="0" xfId="2" applyNumberFormat="1" applyFont="1" applyFill="1"/>
    <xf numFmtId="10" fontId="13" fillId="3" borderId="0" xfId="5" applyNumberFormat="1" applyFont="1" applyFill="1"/>
    <xf numFmtId="0" fontId="22" fillId="0" borderId="0" xfId="3" applyFont="1" applyAlignment="1" applyProtection="1"/>
    <xf numFmtId="0" fontId="17" fillId="4" borderId="2" xfId="2" applyFont="1" applyFill="1" applyBorder="1" applyAlignment="1">
      <alignment horizontal="center"/>
    </xf>
    <xf numFmtId="0" fontId="6" fillId="2" borderId="0" xfId="2" applyFont="1" applyFill="1" applyAlignment="1">
      <alignment vertical="top"/>
    </xf>
    <xf numFmtId="0" fontId="6" fillId="2" borderId="0" xfId="2" applyFont="1" applyFill="1" applyAlignment="1">
      <alignment horizontal="right" vertical="top" wrapText="1"/>
    </xf>
    <xf numFmtId="0" fontId="17" fillId="4" borderId="3" xfId="2" applyFont="1" applyFill="1" applyBorder="1" applyAlignment="1">
      <alignment horizontal="center"/>
    </xf>
    <xf numFmtId="17" fontId="23" fillId="3" borderId="0" xfId="2" applyNumberFormat="1" applyFont="1" applyFill="1"/>
    <xf numFmtId="164" fontId="13" fillId="3" borderId="0" xfId="2" applyNumberFormat="1" applyFont="1" applyFill="1"/>
    <xf numFmtId="0" fontId="13" fillId="3" borderId="1" xfId="2" applyFont="1" applyFill="1" applyBorder="1" applyAlignment="1" applyProtection="1">
      <alignment horizontal="center"/>
      <protection locked="0"/>
    </xf>
    <xf numFmtId="0" fontId="17" fillId="4" borderId="4" xfId="2" applyFont="1" applyFill="1" applyBorder="1" applyAlignment="1">
      <alignment horizontal="center"/>
    </xf>
    <xf numFmtId="0" fontId="23" fillId="3" borderId="0" xfId="2" applyFont="1" applyFill="1" applyAlignment="1">
      <alignment horizontal="left"/>
    </xf>
    <xf numFmtId="0" fontId="3" fillId="3" borderId="1" xfId="2" applyFill="1" applyBorder="1"/>
    <xf numFmtId="0" fontId="17" fillId="3" borderId="0" xfId="2" applyFont="1" applyFill="1" applyAlignment="1">
      <alignment horizontal="centerContinuous"/>
    </xf>
    <xf numFmtId="0" fontId="13" fillId="3" borderId="0" xfId="2" applyFont="1" applyFill="1" applyAlignment="1">
      <alignment horizontal="centerContinuous"/>
    </xf>
    <xf numFmtId="0" fontId="17" fillId="4" borderId="1" xfId="2" applyFont="1" applyFill="1" applyBorder="1" applyAlignment="1">
      <alignment horizontal="centerContinuous"/>
    </xf>
    <xf numFmtId="0" fontId="13" fillId="4" borderId="5" xfId="2" applyFont="1" applyFill="1" applyBorder="1" applyAlignment="1">
      <alignment horizontal="centerContinuous"/>
    </xf>
    <xf numFmtId="0" fontId="17" fillId="4" borderId="6" xfId="2" applyFont="1" applyFill="1" applyBorder="1" applyAlignment="1">
      <alignment horizontal="centerContinuous"/>
    </xf>
    <xf numFmtId="0" fontId="17" fillId="4" borderId="7" xfId="2" applyFont="1" applyFill="1" applyBorder="1"/>
    <xf numFmtId="0" fontId="17" fillId="4" borderId="7" xfId="2" applyFont="1" applyFill="1" applyBorder="1" applyAlignment="1">
      <alignment horizontal="center"/>
    </xf>
    <xf numFmtId="0" fontId="17" fillId="4" borderId="8" xfId="2" applyFont="1" applyFill="1" applyBorder="1" applyAlignment="1">
      <alignment horizontal="center"/>
    </xf>
    <xf numFmtId="0" fontId="13" fillId="3" borderId="7" xfId="2" applyFont="1" applyFill="1" applyBorder="1" applyAlignment="1" applyProtection="1">
      <alignment horizontal="center"/>
      <protection locked="0"/>
    </xf>
    <xf numFmtId="0" fontId="13" fillId="3" borderId="8" xfId="2" applyFont="1" applyFill="1" applyBorder="1" applyAlignment="1" applyProtection="1">
      <alignment horizontal="center"/>
      <protection locked="0"/>
    </xf>
    <xf numFmtId="0" fontId="23" fillId="3" borderId="0" xfId="2" applyFont="1" applyFill="1"/>
    <xf numFmtId="0" fontId="17" fillId="4" borderId="9" xfId="2" applyFont="1" applyFill="1" applyBorder="1" applyAlignment="1">
      <alignment horizontal="centerContinuous"/>
    </xf>
    <xf numFmtId="0" fontId="3" fillId="4" borderId="1" xfId="2" applyFill="1" applyBorder="1" applyAlignment="1">
      <alignment horizontal="centerContinuous"/>
    </xf>
    <xf numFmtId="0" fontId="17" fillId="4" borderId="10" xfId="2" applyFont="1" applyFill="1" applyBorder="1" applyAlignment="1">
      <alignment horizontal="center"/>
    </xf>
    <xf numFmtId="0" fontId="17" fillId="4" borderId="6" xfId="2" applyFont="1" applyFill="1" applyBorder="1" applyAlignment="1">
      <alignment horizontal="center"/>
    </xf>
    <xf numFmtId="0" fontId="13" fillId="3" borderId="9" xfId="2" applyFont="1" applyFill="1" applyBorder="1" applyAlignment="1" applyProtection="1">
      <alignment horizontal="center"/>
      <protection locked="0"/>
    </xf>
    <xf numFmtId="0" fontId="13" fillId="3" borderId="5" xfId="2" applyFont="1" applyFill="1" applyBorder="1" applyAlignment="1" applyProtection="1">
      <alignment horizontal="center"/>
      <protection locked="0"/>
    </xf>
    <xf numFmtId="0" fontId="17" fillId="4" borderId="0" xfId="4" applyFont="1" applyFill="1"/>
    <xf numFmtId="0" fontId="13" fillId="4" borderId="0" xfId="4" applyFont="1" applyFill="1"/>
    <xf numFmtId="43" fontId="13" fillId="3" borderId="0" xfId="6" applyFont="1" applyFill="1"/>
    <xf numFmtId="0" fontId="17" fillId="3" borderId="0" xfId="2" applyFont="1" applyFill="1" applyAlignment="1">
      <alignment horizontal="center"/>
    </xf>
    <xf numFmtId="0" fontId="17" fillId="3" borderId="0" xfId="2" applyFont="1" applyFill="1" applyAlignment="1">
      <alignment horizontal="left"/>
    </xf>
    <xf numFmtId="0" fontId="17" fillId="4" borderId="2" xfId="2" applyFont="1" applyFill="1" applyBorder="1" applyAlignment="1">
      <alignment horizontal="center" vertical="center"/>
    </xf>
    <xf numFmtId="0" fontId="17" fillId="4" borderId="7" xfId="2" applyFont="1" applyFill="1" applyBorder="1" applyAlignment="1">
      <alignment horizontal="center" vertical="center" wrapText="1"/>
    </xf>
    <xf numFmtId="0" fontId="17" fillId="4" borderId="1" xfId="2" applyFont="1" applyFill="1" applyBorder="1" applyAlignment="1">
      <alignment horizontal="center"/>
    </xf>
    <xf numFmtId="0" fontId="13" fillId="3" borderId="0" xfId="2" applyFont="1" applyFill="1" applyAlignment="1">
      <alignment vertical="top"/>
    </xf>
    <xf numFmtId="0" fontId="17" fillId="4" borderId="1" xfId="2" applyFont="1" applyFill="1" applyBorder="1" applyAlignment="1">
      <alignment horizontal="center" vertical="center"/>
    </xf>
    <xf numFmtId="0" fontId="13" fillId="2" borderId="0" xfId="2" applyFont="1" applyFill="1" applyAlignment="1">
      <alignment vertical="top" wrapText="1"/>
    </xf>
    <xf numFmtId="0" fontId="13" fillId="3" borderId="1" xfId="2" applyFont="1" applyFill="1" applyBorder="1" applyAlignment="1" applyProtection="1">
      <alignment vertical="top" wrapText="1"/>
      <protection locked="0"/>
    </xf>
    <xf numFmtId="0" fontId="13" fillId="3" borderId="0" xfId="2" applyFont="1" applyFill="1" applyAlignment="1">
      <alignment vertical="top" wrapText="1"/>
    </xf>
    <xf numFmtId="0" fontId="17" fillId="3" borderId="0" xfId="2" applyFont="1" applyFill="1" applyAlignment="1">
      <alignment horizontal="centerContinuous" vertical="center"/>
    </xf>
    <xf numFmtId="0" fontId="3" fillId="3" borderId="0" xfId="2" applyFill="1" applyAlignment="1">
      <alignment horizontal="centerContinuous" vertical="center"/>
    </xf>
    <xf numFmtId="0" fontId="13" fillId="4" borderId="1" xfId="2" applyFont="1" applyFill="1" applyBorder="1" applyAlignment="1">
      <alignment horizontal="center"/>
    </xf>
    <xf numFmtId="0" fontId="13" fillId="3" borderId="0" xfId="2" applyFont="1" applyFill="1" applyAlignment="1">
      <alignment wrapText="1"/>
    </xf>
    <xf numFmtId="0" fontId="17" fillId="4" borderId="1" xfId="2" applyFont="1" applyFill="1" applyBorder="1" applyAlignment="1">
      <alignment horizontal="center" wrapText="1"/>
    </xf>
    <xf numFmtId="0" fontId="17" fillId="4" borderId="1" xfId="2" applyFont="1" applyFill="1" applyBorder="1" applyAlignment="1">
      <alignment horizontal="center" vertical="center" wrapText="1"/>
    </xf>
    <xf numFmtId="0" fontId="24" fillId="3" borderId="0" xfId="2" applyFont="1" applyFill="1"/>
    <xf numFmtId="0" fontId="17" fillId="4" borderId="9" xfId="2" applyFont="1" applyFill="1" applyBorder="1"/>
    <xf numFmtId="0" fontId="13" fillId="4" borderId="11" xfId="2" applyFont="1" applyFill="1" applyBorder="1"/>
    <xf numFmtId="0" fontId="13" fillId="4" borderId="5" xfId="2" applyFont="1" applyFill="1" applyBorder="1"/>
    <xf numFmtId="0" fontId="13" fillId="3" borderId="1" xfId="2" applyFont="1" applyFill="1" applyBorder="1" applyAlignment="1">
      <alignment horizontal="left"/>
    </xf>
    <xf numFmtId="0" fontId="13" fillId="3" borderId="0" xfId="2" applyFont="1" applyFill="1" applyAlignment="1" applyProtection="1">
      <alignment horizontal="left"/>
      <protection locked="0"/>
    </xf>
    <xf numFmtId="0" fontId="13" fillId="3" borderId="0" xfId="2" applyFont="1" applyFill="1" applyProtection="1">
      <protection locked="0"/>
    </xf>
    <xf numFmtId="14" fontId="13" fillId="3" borderId="0" xfId="2" applyNumberFormat="1" applyFont="1" applyFill="1"/>
    <xf numFmtId="14" fontId="13" fillId="3" borderId="0" xfId="2" applyNumberFormat="1" applyFont="1" applyFill="1" applyProtection="1">
      <protection locked="0"/>
    </xf>
    <xf numFmtId="0" fontId="19" fillId="4" borderId="0" xfId="2" applyFont="1" applyFill="1"/>
    <xf numFmtId="0" fontId="25" fillId="0" borderId="0" xfId="0" applyFont="1" applyAlignment="1">
      <alignment vertical="center"/>
    </xf>
    <xf numFmtId="0" fontId="26" fillId="3" borderId="0" xfId="2" applyFont="1" applyFill="1"/>
    <xf numFmtId="0" fontId="25" fillId="3" borderId="0" xfId="2" applyFont="1" applyFill="1"/>
    <xf numFmtId="168" fontId="27" fillId="3" borderId="0" xfId="1" applyNumberFormat="1" applyFont="1" applyFill="1"/>
    <xf numFmtId="10" fontId="27" fillId="2" borderId="0" xfId="5" applyNumberFormat="1" applyFont="1" applyFill="1"/>
    <xf numFmtId="43" fontId="27" fillId="2" borderId="0" xfId="1" applyFont="1" applyFill="1"/>
    <xf numFmtId="0" fontId="4" fillId="0" borderId="0" xfId="2" applyFont="1"/>
    <xf numFmtId="17" fontId="1" fillId="0" borderId="0" xfId="2" applyNumberFormat="1" applyFont="1"/>
    <xf numFmtId="4" fontId="1" fillId="0" borderId="0" xfId="1" applyNumberFormat="1" applyFont="1"/>
    <xf numFmtId="0" fontId="1" fillId="0" borderId="0" xfId="2" applyFont="1"/>
    <xf numFmtId="43" fontId="1" fillId="0" borderId="0" xfId="1" applyFont="1"/>
    <xf numFmtId="0" fontId="27" fillId="3" borderId="0" xfId="2" applyFont="1" applyFill="1"/>
    <xf numFmtId="0" fontId="28" fillId="3" borderId="0" xfId="2" applyFont="1" applyFill="1" applyAlignment="1">
      <alignment horizontal="centerContinuous"/>
    </xf>
    <xf numFmtId="0" fontId="27" fillId="3" borderId="0" xfId="2" applyFont="1" applyFill="1" applyAlignment="1">
      <alignment horizontal="center"/>
    </xf>
    <xf numFmtId="0" fontId="27" fillId="3" borderId="0" xfId="2" applyFont="1" applyFill="1" applyAlignment="1">
      <alignment horizontal="centerContinuous"/>
    </xf>
    <xf numFmtId="0" fontId="28" fillId="3" borderId="0" xfId="2" applyFont="1" applyFill="1" applyAlignment="1">
      <alignment horizontal="center"/>
    </xf>
    <xf numFmtId="0" fontId="28" fillId="3" borderId="12" xfId="2" applyFont="1" applyFill="1" applyBorder="1" applyAlignment="1">
      <alignment horizontal="center"/>
    </xf>
    <xf numFmtId="0" fontId="27" fillId="2" borderId="0" xfId="2" applyFont="1" applyFill="1"/>
    <xf numFmtId="0" fontId="29" fillId="3" borderId="0" xfId="2" applyFont="1" applyFill="1"/>
    <xf numFmtId="2" fontId="27" fillId="3" borderId="0" xfId="2" applyNumberFormat="1" applyFont="1" applyFill="1"/>
    <xf numFmtId="0" fontId="27" fillId="3" borderId="12" xfId="2" applyFont="1" applyFill="1" applyBorder="1"/>
    <xf numFmtId="2" fontId="27" fillId="2" borderId="0" xfId="2" applyNumberFormat="1" applyFont="1" applyFill="1"/>
    <xf numFmtId="0" fontId="27" fillId="2" borderId="12" xfId="2" applyFont="1" applyFill="1" applyBorder="1"/>
    <xf numFmtId="2" fontId="27" fillId="2" borderId="12" xfId="2" applyNumberFormat="1" applyFont="1" applyFill="1" applyBorder="1"/>
    <xf numFmtId="0" fontId="27" fillId="3" borderId="12" xfId="2" applyFont="1" applyFill="1" applyBorder="1" applyAlignment="1">
      <alignment horizontal="center"/>
    </xf>
    <xf numFmtId="2" fontId="27" fillId="3" borderId="12" xfId="2" applyNumberFormat="1" applyFont="1" applyFill="1" applyBorder="1"/>
    <xf numFmtId="0" fontId="27" fillId="3" borderId="0" xfId="2" applyFont="1" applyFill="1" applyAlignment="1">
      <alignment horizontal="right"/>
    </xf>
    <xf numFmtId="0" fontId="27" fillId="3" borderId="0" xfId="2" applyFont="1" applyFill="1" applyAlignment="1">
      <alignment horizontal="left"/>
    </xf>
    <xf numFmtId="2" fontId="27" fillId="3" borderId="0" xfId="2" applyNumberFormat="1" applyFont="1" applyFill="1" applyAlignment="1">
      <alignment horizontal="right"/>
    </xf>
    <xf numFmtId="0" fontId="27" fillId="0" borderId="0" xfId="2" applyFont="1"/>
    <xf numFmtId="0" fontId="27" fillId="3" borderId="0" xfId="2" quotePrefix="1" applyFont="1" applyFill="1" applyAlignment="1">
      <alignment horizontal="left"/>
    </xf>
    <xf numFmtId="169" fontId="27" fillId="3" borderId="0" xfId="2" applyNumberFormat="1" applyFont="1" applyFill="1" applyAlignment="1">
      <alignment horizontal="center"/>
    </xf>
    <xf numFmtId="2" fontId="4" fillId="3" borderId="0" xfId="2" applyNumberFormat="1" applyFont="1" applyFill="1"/>
    <xf numFmtId="10" fontId="17" fillId="5" borderId="0" xfId="4" applyNumberFormat="1" applyFont="1" applyFill="1" applyAlignment="1">
      <alignment horizontal="left"/>
    </xf>
    <xf numFmtId="0" fontId="18" fillId="0" borderId="0" xfId="3">
      <alignment vertical="top"/>
      <protection locked="0"/>
    </xf>
    <xf numFmtId="0" fontId="28" fillId="3" borderId="0" xfId="2" applyFont="1" applyFill="1" applyAlignment="1">
      <alignment horizontal="right"/>
    </xf>
    <xf numFmtId="0" fontId="27" fillId="3" borderId="0" xfId="2" applyFont="1" applyFill="1"/>
    <xf numFmtId="0" fontId="28" fillId="3" borderId="0" xfId="2" applyFont="1" applyFill="1" applyAlignment="1">
      <alignment horizontal="center"/>
    </xf>
    <xf numFmtId="0" fontId="27" fillId="3" borderId="0" xfId="2" applyFont="1" applyFill="1" applyAlignment="1">
      <alignment horizontal="center"/>
    </xf>
    <xf numFmtId="0" fontId="28" fillId="3" borderId="0" xfId="2" quotePrefix="1" applyFont="1" applyFill="1" applyAlignment="1">
      <alignment horizontal="center"/>
    </xf>
    <xf numFmtId="0" fontId="28" fillId="3" borderId="12" xfId="2" applyFont="1" applyFill="1" applyBorder="1" applyAlignment="1">
      <alignment horizontal="center"/>
    </xf>
    <xf numFmtId="0" fontId="0" fillId="0" borderId="12" xfId="0" applyBorder="1"/>
    <xf numFmtId="0" fontId="27" fillId="3" borderId="12" xfId="2" quotePrefix="1" applyFont="1" applyFill="1" applyBorder="1" applyAlignment="1">
      <alignment horizontal="center"/>
    </xf>
    <xf numFmtId="0" fontId="27" fillId="2" borderId="0" xfId="2" applyFont="1" applyFill="1"/>
    <xf numFmtId="0" fontId="27" fillId="3" borderId="12" xfId="2" applyFont="1" applyFill="1" applyBorder="1" applyAlignment="1">
      <alignment horizontal="center"/>
    </xf>
    <xf numFmtId="2" fontId="13" fillId="3" borderId="1" xfId="2" quotePrefix="1" applyNumberFormat="1" applyFont="1" applyFill="1" applyBorder="1" applyAlignment="1" applyProtection="1">
      <alignment horizontal="center"/>
      <protection locked="0"/>
    </xf>
    <xf numFmtId="2" fontId="13" fillId="3" borderId="1" xfId="2" applyNumberFormat="1" applyFont="1" applyFill="1" applyBorder="1" applyAlignment="1" applyProtection="1">
      <alignment horizontal="center"/>
      <protection locked="0"/>
    </xf>
    <xf numFmtId="2" fontId="13" fillId="0" borderId="1" xfId="2" applyNumberFormat="1" applyFont="1" applyBorder="1" applyAlignment="1" applyProtection="1">
      <alignment horizontal="center"/>
      <protection locked="0"/>
    </xf>
    <xf numFmtId="10" fontId="13" fillId="3" borderId="0" xfId="2" quotePrefix="1" applyNumberFormat="1" applyFont="1" applyFill="1" applyBorder="1" applyAlignment="1" applyProtection="1">
      <alignment horizontal="center"/>
      <protection locked="0"/>
    </xf>
    <xf numFmtId="10" fontId="13" fillId="3" borderId="0" xfId="2" applyNumberFormat="1" applyFont="1" applyFill="1" applyBorder="1" applyAlignment="1" applyProtection="1">
      <alignment horizontal="center"/>
      <protection locked="0"/>
    </xf>
    <xf numFmtId="10" fontId="13" fillId="0" borderId="0" xfId="2" applyNumberFormat="1" applyFont="1" applyBorder="1" applyAlignment="1" applyProtection="1">
      <alignment horizontal="center"/>
      <protection locked="0"/>
    </xf>
    <xf numFmtId="0" fontId="13" fillId="3" borderId="0" xfId="2" applyFont="1" applyFill="1" applyBorder="1"/>
    <xf numFmtId="168" fontId="3" fillId="0" borderId="0" xfId="1" applyNumberFormat="1" applyBorder="1"/>
    <xf numFmtId="168" fontId="3" fillId="2" borderId="0" xfId="1" applyNumberFormat="1" applyFill="1" applyBorder="1"/>
    <xf numFmtId="0" fontId="13" fillId="2" borderId="0" xfId="2" applyFont="1" applyFill="1"/>
    <xf numFmtId="0" fontId="17" fillId="2" borderId="0" xfId="2" applyFont="1" applyFill="1"/>
    <xf numFmtId="0" fontId="23" fillId="2" borderId="0" xfId="2" applyFont="1" applyFill="1" applyAlignment="1">
      <alignment horizontal="center" vertical="center"/>
    </xf>
    <xf numFmtId="43" fontId="23" fillId="2" borderId="0" xfId="1" applyFont="1" applyFill="1" applyAlignment="1">
      <alignment horizontal="center" vertical="center"/>
    </xf>
    <xf numFmtId="166" fontId="23" fillId="2" borderId="0" xfId="1" applyNumberFormat="1" applyFont="1" applyFill="1" applyAlignment="1">
      <alignment horizontal="center" vertical="center"/>
    </xf>
    <xf numFmtId="167" fontId="23" fillId="2" borderId="0" xfId="1" applyNumberFormat="1" applyFont="1" applyFill="1" applyAlignment="1">
      <alignment horizontal="center" vertical="center"/>
    </xf>
    <xf numFmtId="0" fontId="3" fillId="2" borderId="0" xfId="2" applyFont="1" applyFill="1"/>
    <xf numFmtId="0" fontId="23" fillId="2" borderId="0" xfId="2" applyFont="1" applyFill="1" applyAlignment="1">
      <alignment horizontal="left"/>
    </xf>
    <xf numFmtId="0" fontId="23" fillId="2" borderId="0" xfId="2" applyFont="1" applyFill="1"/>
    <xf numFmtId="14" fontId="23" fillId="2" borderId="0" xfId="2" applyNumberFormat="1" applyFont="1" applyFill="1" applyAlignment="1">
      <alignment horizontal="left"/>
    </xf>
  </cellXfs>
  <cellStyles count="7">
    <cellStyle name="Hipervínculo" xfId="3" builtinId="8"/>
    <cellStyle name="Millares" xfId="1" builtinId="3"/>
    <cellStyle name="Millares 2" xfId="6" xr:uid="{00000000-0005-0000-0000-000006000000}"/>
    <cellStyle name="Normal" xfId="0" builtinId="0"/>
    <cellStyle name="Normal 2" xfId="2" xr:uid="{00000000-0005-0000-0000-000002000000}"/>
    <cellStyle name="Normal 2 2" xfId="4" xr:uid="{00000000-0005-0000-0000-000004000000}"/>
    <cellStyle name="Porcentaje 3" xfId="5" xr:uid="{00000000-0005-0000-0000-000005000000}"/>
  </cellStyles>
  <dxfs count="37">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Inflación anual (%)</a:t>
            </a:r>
          </a:p>
        </c:rich>
      </c:tx>
      <c:overlay val="0"/>
      <c:spPr>
        <a:noFill/>
        <a:ln w="25400">
          <a:noFill/>
          <a:prstDash val="solid"/>
        </a:ln>
      </c:spPr>
    </c:title>
    <c:autoTitleDeleted val="0"/>
    <c:plotArea>
      <c:layout>
        <c:manualLayout>
          <c:layoutTarget val="inner"/>
          <c:xMode val="edge"/>
          <c:yMode val="edge"/>
          <c:x val="0.1166450984802871"/>
          <c:y val="0.14280181345698259"/>
          <c:w val="0.84747626695916745"/>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prstDash val="solid"/>
              <a:round/>
            </a:ln>
          </c:spPr>
          <c:marker>
            <c:symbol val="none"/>
          </c:marker>
          <c:cat>
            <c:numRef>
              <c:f>Mes!$A$6:$A$199</c:f>
              <c:numCache>
                <c:formatCode>mmm\-yy</c:formatCode>
                <c:ptCount val="194"/>
                <c:pt idx="0">
                  <c:v>40269</c:v>
                </c:pt>
                <c:pt idx="1">
                  <c:v>40299</c:v>
                </c:pt>
                <c:pt idx="2">
                  <c:v>40330</c:v>
                </c:pt>
                <c:pt idx="3">
                  <c:v>40360</c:v>
                </c:pt>
                <c:pt idx="4">
                  <c:v>40391</c:v>
                </c:pt>
                <c:pt idx="5">
                  <c:v>40422</c:v>
                </c:pt>
                <c:pt idx="6">
                  <c:v>40452</c:v>
                </c:pt>
                <c:pt idx="7">
                  <c:v>40483</c:v>
                </c:pt>
                <c:pt idx="8">
                  <c:v>40513</c:v>
                </c:pt>
                <c:pt idx="9">
                  <c:v>40544</c:v>
                </c:pt>
                <c:pt idx="10">
                  <c:v>40575</c:v>
                </c:pt>
                <c:pt idx="11">
                  <c:v>40603</c:v>
                </c:pt>
                <c:pt idx="12">
                  <c:v>40634</c:v>
                </c:pt>
                <c:pt idx="13">
                  <c:v>40664</c:v>
                </c:pt>
                <c:pt idx="14">
                  <c:v>40695</c:v>
                </c:pt>
                <c:pt idx="15">
                  <c:v>40725</c:v>
                </c:pt>
                <c:pt idx="16">
                  <c:v>40756</c:v>
                </c:pt>
                <c:pt idx="17">
                  <c:v>40787</c:v>
                </c:pt>
                <c:pt idx="18">
                  <c:v>40817</c:v>
                </c:pt>
                <c:pt idx="19">
                  <c:v>40848</c:v>
                </c:pt>
                <c:pt idx="20">
                  <c:v>40878</c:v>
                </c:pt>
                <c:pt idx="21">
                  <c:v>40909</c:v>
                </c:pt>
                <c:pt idx="22">
                  <c:v>40940</c:v>
                </c:pt>
                <c:pt idx="23">
                  <c:v>40969</c:v>
                </c:pt>
                <c:pt idx="24">
                  <c:v>41000</c:v>
                </c:pt>
                <c:pt idx="25">
                  <c:v>41030</c:v>
                </c:pt>
                <c:pt idx="26">
                  <c:v>41061</c:v>
                </c:pt>
                <c:pt idx="27">
                  <c:v>41091</c:v>
                </c:pt>
                <c:pt idx="28">
                  <c:v>41122</c:v>
                </c:pt>
                <c:pt idx="29">
                  <c:v>41153</c:v>
                </c:pt>
                <c:pt idx="30">
                  <c:v>41183</c:v>
                </c:pt>
                <c:pt idx="31">
                  <c:v>41214</c:v>
                </c:pt>
                <c:pt idx="32">
                  <c:v>41244</c:v>
                </c:pt>
                <c:pt idx="33">
                  <c:v>41275</c:v>
                </c:pt>
                <c:pt idx="34">
                  <c:v>41306</c:v>
                </c:pt>
                <c:pt idx="35">
                  <c:v>41334</c:v>
                </c:pt>
                <c:pt idx="36">
                  <c:v>41365</c:v>
                </c:pt>
                <c:pt idx="37">
                  <c:v>41395</c:v>
                </c:pt>
                <c:pt idx="38">
                  <c:v>41426</c:v>
                </c:pt>
                <c:pt idx="39">
                  <c:v>41456</c:v>
                </c:pt>
                <c:pt idx="40">
                  <c:v>41487</c:v>
                </c:pt>
                <c:pt idx="41">
                  <c:v>41518</c:v>
                </c:pt>
                <c:pt idx="42">
                  <c:v>41548</c:v>
                </c:pt>
                <c:pt idx="43">
                  <c:v>41579</c:v>
                </c:pt>
                <c:pt idx="44">
                  <c:v>41609</c:v>
                </c:pt>
                <c:pt idx="45">
                  <c:v>41640</c:v>
                </c:pt>
                <c:pt idx="46">
                  <c:v>41671</c:v>
                </c:pt>
                <c:pt idx="47">
                  <c:v>41699</c:v>
                </c:pt>
                <c:pt idx="48">
                  <c:v>41730</c:v>
                </c:pt>
                <c:pt idx="49">
                  <c:v>41760</c:v>
                </c:pt>
                <c:pt idx="50">
                  <c:v>41791</c:v>
                </c:pt>
                <c:pt idx="51">
                  <c:v>41821</c:v>
                </c:pt>
                <c:pt idx="52">
                  <c:v>41852</c:v>
                </c:pt>
                <c:pt idx="53">
                  <c:v>41883</c:v>
                </c:pt>
                <c:pt idx="54">
                  <c:v>41913</c:v>
                </c:pt>
                <c:pt idx="55">
                  <c:v>41944</c:v>
                </c:pt>
                <c:pt idx="56">
                  <c:v>41974</c:v>
                </c:pt>
                <c:pt idx="57">
                  <c:v>42005</c:v>
                </c:pt>
                <c:pt idx="58">
                  <c:v>42036</c:v>
                </c:pt>
                <c:pt idx="59">
                  <c:v>42064</c:v>
                </c:pt>
                <c:pt idx="60">
                  <c:v>42095</c:v>
                </c:pt>
                <c:pt idx="61">
                  <c:v>42125</c:v>
                </c:pt>
                <c:pt idx="62">
                  <c:v>42156</c:v>
                </c:pt>
                <c:pt idx="63">
                  <c:v>42186</c:v>
                </c:pt>
                <c:pt idx="64">
                  <c:v>42217</c:v>
                </c:pt>
                <c:pt idx="65">
                  <c:v>42248</c:v>
                </c:pt>
                <c:pt idx="66">
                  <c:v>42278</c:v>
                </c:pt>
                <c:pt idx="67">
                  <c:v>42309</c:v>
                </c:pt>
                <c:pt idx="68">
                  <c:v>42339</c:v>
                </c:pt>
                <c:pt idx="69">
                  <c:v>42370</c:v>
                </c:pt>
                <c:pt idx="70">
                  <c:v>42401</c:v>
                </c:pt>
                <c:pt idx="71">
                  <c:v>42430</c:v>
                </c:pt>
                <c:pt idx="72">
                  <c:v>42461</c:v>
                </c:pt>
                <c:pt idx="73">
                  <c:v>42491</c:v>
                </c:pt>
                <c:pt idx="74">
                  <c:v>42522</c:v>
                </c:pt>
                <c:pt idx="75">
                  <c:v>42552</c:v>
                </c:pt>
                <c:pt idx="76">
                  <c:v>42583</c:v>
                </c:pt>
                <c:pt idx="77">
                  <c:v>42614</c:v>
                </c:pt>
                <c:pt idx="78">
                  <c:v>42644</c:v>
                </c:pt>
                <c:pt idx="79">
                  <c:v>42675</c:v>
                </c:pt>
                <c:pt idx="80">
                  <c:v>42705</c:v>
                </c:pt>
                <c:pt idx="81">
                  <c:v>42736</c:v>
                </c:pt>
                <c:pt idx="82">
                  <c:v>42767</c:v>
                </c:pt>
                <c:pt idx="83">
                  <c:v>42795</c:v>
                </c:pt>
                <c:pt idx="84">
                  <c:v>42826</c:v>
                </c:pt>
                <c:pt idx="85">
                  <c:v>42856</c:v>
                </c:pt>
                <c:pt idx="86">
                  <c:v>42887</c:v>
                </c:pt>
                <c:pt idx="87">
                  <c:v>42917</c:v>
                </c:pt>
                <c:pt idx="88">
                  <c:v>42948</c:v>
                </c:pt>
                <c:pt idx="89">
                  <c:v>42979</c:v>
                </c:pt>
                <c:pt idx="90">
                  <c:v>43009</c:v>
                </c:pt>
                <c:pt idx="91">
                  <c:v>43040</c:v>
                </c:pt>
                <c:pt idx="92">
                  <c:v>43070</c:v>
                </c:pt>
                <c:pt idx="93">
                  <c:v>43101</c:v>
                </c:pt>
                <c:pt idx="94">
                  <c:v>43132</c:v>
                </c:pt>
                <c:pt idx="95">
                  <c:v>43160</c:v>
                </c:pt>
                <c:pt idx="96">
                  <c:v>43191</c:v>
                </c:pt>
                <c:pt idx="97">
                  <c:v>43221</c:v>
                </c:pt>
                <c:pt idx="98">
                  <c:v>43252</c:v>
                </c:pt>
                <c:pt idx="99">
                  <c:v>43282</c:v>
                </c:pt>
                <c:pt idx="100">
                  <c:v>43313</c:v>
                </c:pt>
                <c:pt idx="101">
                  <c:v>43344</c:v>
                </c:pt>
                <c:pt idx="102">
                  <c:v>43374</c:v>
                </c:pt>
                <c:pt idx="103">
                  <c:v>43405</c:v>
                </c:pt>
                <c:pt idx="104">
                  <c:v>43435</c:v>
                </c:pt>
                <c:pt idx="105">
                  <c:v>43466</c:v>
                </c:pt>
                <c:pt idx="106">
                  <c:v>43497</c:v>
                </c:pt>
                <c:pt idx="107">
                  <c:v>43525</c:v>
                </c:pt>
                <c:pt idx="108">
                  <c:v>43556</c:v>
                </c:pt>
                <c:pt idx="109">
                  <c:v>43586</c:v>
                </c:pt>
                <c:pt idx="110">
                  <c:v>43617</c:v>
                </c:pt>
                <c:pt idx="111">
                  <c:v>43647</c:v>
                </c:pt>
                <c:pt idx="112">
                  <c:v>43678</c:v>
                </c:pt>
                <c:pt idx="113">
                  <c:v>43709</c:v>
                </c:pt>
                <c:pt idx="114">
                  <c:v>43739</c:v>
                </c:pt>
                <c:pt idx="115">
                  <c:v>43770</c:v>
                </c:pt>
                <c:pt idx="116">
                  <c:v>43800</c:v>
                </c:pt>
                <c:pt idx="117">
                  <c:v>43831</c:v>
                </c:pt>
                <c:pt idx="118">
                  <c:v>43862</c:v>
                </c:pt>
                <c:pt idx="119">
                  <c:v>43891</c:v>
                </c:pt>
                <c:pt idx="120">
                  <c:v>43922</c:v>
                </c:pt>
                <c:pt idx="121">
                  <c:v>43952</c:v>
                </c:pt>
                <c:pt idx="122">
                  <c:v>43983</c:v>
                </c:pt>
                <c:pt idx="123">
                  <c:v>44013</c:v>
                </c:pt>
                <c:pt idx="124">
                  <c:v>44044</c:v>
                </c:pt>
                <c:pt idx="125">
                  <c:v>44075</c:v>
                </c:pt>
                <c:pt idx="126">
                  <c:v>44105</c:v>
                </c:pt>
                <c:pt idx="127">
                  <c:v>44136</c:v>
                </c:pt>
                <c:pt idx="128">
                  <c:v>44166</c:v>
                </c:pt>
                <c:pt idx="129">
                  <c:v>44197</c:v>
                </c:pt>
                <c:pt idx="130">
                  <c:v>44228</c:v>
                </c:pt>
                <c:pt idx="131">
                  <c:v>44256</c:v>
                </c:pt>
                <c:pt idx="132">
                  <c:v>44287</c:v>
                </c:pt>
                <c:pt idx="133">
                  <c:v>44317</c:v>
                </c:pt>
                <c:pt idx="134">
                  <c:v>44348</c:v>
                </c:pt>
                <c:pt idx="135">
                  <c:v>44378</c:v>
                </c:pt>
                <c:pt idx="136">
                  <c:v>44409</c:v>
                </c:pt>
                <c:pt idx="137">
                  <c:v>44440</c:v>
                </c:pt>
                <c:pt idx="138">
                  <c:v>44470</c:v>
                </c:pt>
                <c:pt idx="139">
                  <c:v>44501</c:v>
                </c:pt>
                <c:pt idx="140">
                  <c:v>44531</c:v>
                </c:pt>
                <c:pt idx="141">
                  <c:v>44562</c:v>
                </c:pt>
                <c:pt idx="142">
                  <c:v>44593</c:v>
                </c:pt>
                <c:pt idx="143">
                  <c:v>44621</c:v>
                </c:pt>
                <c:pt idx="144">
                  <c:v>44652</c:v>
                </c:pt>
                <c:pt idx="145">
                  <c:v>44682</c:v>
                </c:pt>
                <c:pt idx="146">
                  <c:v>44713</c:v>
                </c:pt>
                <c:pt idx="147">
                  <c:v>44743</c:v>
                </c:pt>
                <c:pt idx="148">
                  <c:v>44774</c:v>
                </c:pt>
                <c:pt idx="149">
                  <c:v>44805</c:v>
                </c:pt>
                <c:pt idx="150">
                  <c:v>44835</c:v>
                </c:pt>
                <c:pt idx="151">
                  <c:v>44866</c:v>
                </c:pt>
                <c:pt idx="152">
                  <c:v>44896</c:v>
                </c:pt>
                <c:pt idx="153">
                  <c:v>44927</c:v>
                </c:pt>
                <c:pt idx="154">
                  <c:v>44958</c:v>
                </c:pt>
                <c:pt idx="155">
                  <c:v>44986</c:v>
                </c:pt>
                <c:pt idx="156">
                  <c:v>45017</c:v>
                </c:pt>
                <c:pt idx="157">
                  <c:v>45047</c:v>
                </c:pt>
                <c:pt idx="158">
                  <c:v>45078</c:v>
                </c:pt>
                <c:pt idx="159">
                  <c:v>45108</c:v>
                </c:pt>
                <c:pt idx="160">
                  <c:v>45139</c:v>
                </c:pt>
                <c:pt idx="161">
                  <c:v>45170</c:v>
                </c:pt>
                <c:pt idx="162">
                  <c:v>45200</c:v>
                </c:pt>
                <c:pt idx="163">
                  <c:v>45231</c:v>
                </c:pt>
                <c:pt idx="164">
                  <c:v>45261</c:v>
                </c:pt>
                <c:pt idx="165">
                  <c:v>45292</c:v>
                </c:pt>
                <c:pt idx="166">
                  <c:v>45323</c:v>
                </c:pt>
                <c:pt idx="167">
                  <c:v>45352</c:v>
                </c:pt>
                <c:pt idx="168">
                  <c:v>45383</c:v>
                </c:pt>
                <c:pt idx="169">
                  <c:v>45413</c:v>
                </c:pt>
                <c:pt idx="170">
                  <c:v>45444</c:v>
                </c:pt>
                <c:pt idx="171">
                  <c:v>45474</c:v>
                </c:pt>
                <c:pt idx="172">
                  <c:v>45505</c:v>
                </c:pt>
                <c:pt idx="173">
                  <c:v>45536</c:v>
                </c:pt>
                <c:pt idx="174">
                  <c:v>45566</c:v>
                </c:pt>
                <c:pt idx="175">
                  <c:v>45597</c:v>
                </c:pt>
                <c:pt idx="176">
                  <c:v>45627</c:v>
                </c:pt>
                <c:pt idx="177">
                  <c:v>45658</c:v>
                </c:pt>
                <c:pt idx="178">
                  <c:v>45689</c:v>
                </c:pt>
                <c:pt idx="179">
                  <c:v>45717</c:v>
                </c:pt>
                <c:pt idx="180">
                  <c:v>45748</c:v>
                </c:pt>
                <c:pt idx="181">
                  <c:v>45778</c:v>
                </c:pt>
                <c:pt idx="182">
                  <c:v>45809</c:v>
                </c:pt>
                <c:pt idx="183">
                  <c:v>45839</c:v>
                </c:pt>
                <c:pt idx="184">
                  <c:v>45870</c:v>
                </c:pt>
                <c:pt idx="185">
                  <c:v>45901</c:v>
                </c:pt>
                <c:pt idx="186">
                  <c:v>45931</c:v>
                </c:pt>
                <c:pt idx="187">
                  <c:v>45962</c:v>
                </c:pt>
                <c:pt idx="188">
                  <c:v>45992</c:v>
                </c:pt>
                <c:pt idx="189">
                  <c:v>46023</c:v>
                </c:pt>
                <c:pt idx="190">
                  <c:v>46054</c:v>
                </c:pt>
                <c:pt idx="191">
                  <c:v>46082</c:v>
                </c:pt>
                <c:pt idx="192">
                  <c:v>46113</c:v>
                </c:pt>
                <c:pt idx="193">
                  <c:v>46143</c:v>
                </c:pt>
              </c:numCache>
            </c:numRef>
          </c:cat>
          <c:val>
            <c:numRef>
              <c:f>Mes!$B$6:$B$199</c:f>
              <c:numCache>
                <c:formatCode>#,##0.00</c:formatCode>
                <c:ptCount val="194"/>
                <c:pt idx="0">
                  <c:v>1.98</c:v>
                </c:pt>
                <c:pt idx="1">
                  <c:v>2.0699999999999998</c:v>
                </c:pt>
                <c:pt idx="2">
                  <c:v>2.25</c:v>
                </c:pt>
                <c:pt idx="3">
                  <c:v>2.2400000000000002</c:v>
                </c:pt>
                <c:pt idx="4">
                  <c:v>2.31</c:v>
                </c:pt>
                <c:pt idx="5">
                  <c:v>2.2799999999999998</c:v>
                </c:pt>
                <c:pt idx="6">
                  <c:v>2.33</c:v>
                </c:pt>
                <c:pt idx="7">
                  <c:v>2.59</c:v>
                </c:pt>
                <c:pt idx="8">
                  <c:v>3.17</c:v>
                </c:pt>
                <c:pt idx="9">
                  <c:v>3.4</c:v>
                </c:pt>
                <c:pt idx="10">
                  <c:v>3.17</c:v>
                </c:pt>
                <c:pt idx="11">
                  <c:v>3.19</c:v>
                </c:pt>
                <c:pt idx="12">
                  <c:v>2.84</c:v>
                </c:pt>
                <c:pt idx="13">
                  <c:v>3.02</c:v>
                </c:pt>
                <c:pt idx="14">
                  <c:v>3.23</c:v>
                </c:pt>
                <c:pt idx="15">
                  <c:v>3.42</c:v>
                </c:pt>
                <c:pt idx="16">
                  <c:v>3.27</c:v>
                </c:pt>
                <c:pt idx="17">
                  <c:v>3.73</c:v>
                </c:pt>
                <c:pt idx="18">
                  <c:v>4.0199999999999996</c:v>
                </c:pt>
                <c:pt idx="19">
                  <c:v>3.96</c:v>
                </c:pt>
                <c:pt idx="20">
                  <c:v>3.73</c:v>
                </c:pt>
                <c:pt idx="21">
                  <c:v>3.54</c:v>
                </c:pt>
                <c:pt idx="22">
                  <c:v>3.55</c:v>
                </c:pt>
                <c:pt idx="23">
                  <c:v>3.4</c:v>
                </c:pt>
                <c:pt idx="24">
                  <c:v>3.43</c:v>
                </c:pt>
                <c:pt idx="25">
                  <c:v>3.44</c:v>
                </c:pt>
                <c:pt idx="26">
                  <c:v>3.2</c:v>
                </c:pt>
                <c:pt idx="27">
                  <c:v>3.03</c:v>
                </c:pt>
                <c:pt idx="28">
                  <c:v>3.11</c:v>
                </c:pt>
                <c:pt idx="29">
                  <c:v>3.08</c:v>
                </c:pt>
                <c:pt idx="30">
                  <c:v>3.06</c:v>
                </c:pt>
                <c:pt idx="31">
                  <c:v>2.77</c:v>
                </c:pt>
                <c:pt idx="32">
                  <c:v>2.44</c:v>
                </c:pt>
                <c:pt idx="33">
                  <c:v>2</c:v>
                </c:pt>
                <c:pt idx="34">
                  <c:v>1.83</c:v>
                </c:pt>
                <c:pt idx="35">
                  <c:v>1.91</c:v>
                </c:pt>
                <c:pt idx="36">
                  <c:v>2.02</c:v>
                </c:pt>
                <c:pt idx="37">
                  <c:v>2</c:v>
                </c:pt>
                <c:pt idx="38">
                  <c:v>2.16</c:v>
                </c:pt>
                <c:pt idx="39">
                  <c:v>2.2200000000000002</c:v>
                </c:pt>
                <c:pt idx="40">
                  <c:v>2.27</c:v>
                </c:pt>
                <c:pt idx="41">
                  <c:v>2.27</c:v>
                </c:pt>
                <c:pt idx="42">
                  <c:v>1.84</c:v>
                </c:pt>
                <c:pt idx="43">
                  <c:v>1.76</c:v>
                </c:pt>
                <c:pt idx="44">
                  <c:v>1.94</c:v>
                </c:pt>
                <c:pt idx="45">
                  <c:v>2.13</c:v>
                </c:pt>
                <c:pt idx="46">
                  <c:v>2.3199999999999998</c:v>
                </c:pt>
                <c:pt idx="47">
                  <c:v>2.5099999999999998</c:v>
                </c:pt>
                <c:pt idx="48">
                  <c:v>2.72</c:v>
                </c:pt>
                <c:pt idx="49">
                  <c:v>2.93</c:v>
                </c:pt>
                <c:pt idx="50">
                  <c:v>2.79</c:v>
                </c:pt>
                <c:pt idx="51">
                  <c:v>2.89</c:v>
                </c:pt>
                <c:pt idx="52">
                  <c:v>3.02</c:v>
                </c:pt>
                <c:pt idx="53">
                  <c:v>2.86</c:v>
                </c:pt>
                <c:pt idx="54">
                  <c:v>3.29</c:v>
                </c:pt>
                <c:pt idx="55">
                  <c:v>3.65</c:v>
                </c:pt>
                <c:pt idx="56">
                  <c:v>3.66</c:v>
                </c:pt>
                <c:pt idx="57">
                  <c:v>3.82</c:v>
                </c:pt>
                <c:pt idx="58">
                  <c:v>4.3600000000000003</c:v>
                </c:pt>
                <c:pt idx="59">
                  <c:v>4.5599999999999996</c:v>
                </c:pt>
                <c:pt idx="60">
                  <c:v>4.6399999999999997</c:v>
                </c:pt>
                <c:pt idx="61">
                  <c:v>4.41</c:v>
                </c:pt>
                <c:pt idx="62">
                  <c:v>4.42</c:v>
                </c:pt>
                <c:pt idx="63">
                  <c:v>4.46</c:v>
                </c:pt>
                <c:pt idx="64">
                  <c:v>4.74</c:v>
                </c:pt>
                <c:pt idx="65">
                  <c:v>5.35</c:v>
                </c:pt>
                <c:pt idx="66">
                  <c:v>5.89</c:v>
                </c:pt>
                <c:pt idx="67">
                  <c:v>6.39</c:v>
                </c:pt>
                <c:pt idx="68">
                  <c:v>6.77</c:v>
                </c:pt>
                <c:pt idx="69">
                  <c:v>7.45</c:v>
                </c:pt>
                <c:pt idx="70">
                  <c:v>7.59</c:v>
                </c:pt>
                <c:pt idx="71">
                  <c:v>7.98</c:v>
                </c:pt>
                <c:pt idx="72">
                  <c:v>7.93</c:v>
                </c:pt>
                <c:pt idx="73">
                  <c:v>8.1999999999999993</c:v>
                </c:pt>
                <c:pt idx="74">
                  <c:v>8.6</c:v>
                </c:pt>
                <c:pt idx="75">
                  <c:v>8.9700000000000006</c:v>
                </c:pt>
                <c:pt idx="76">
                  <c:v>8.1</c:v>
                </c:pt>
                <c:pt idx="77">
                  <c:v>7.27</c:v>
                </c:pt>
                <c:pt idx="78">
                  <c:v>6.48</c:v>
                </c:pt>
                <c:pt idx="79">
                  <c:v>5.96</c:v>
                </c:pt>
                <c:pt idx="80">
                  <c:v>5.75</c:v>
                </c:pt>
                <c:pt idx="81">
                  <c:v>5.47</c:v>
                </c:pt>
                <c:pt idx="82">
                  <c:v>5.18</c:v>
                </c:pt>
                <c:pt idx="83">
                  <c:v>4.6900000000000004</c:v>
                </c:pt>
                <c:pt idx="84">
                  <c:v>4.66</c:v>
                </c:pt>
                <c:pt idx="85">
                  <c:v>4.37</c:v>
                </c:pt>
                <c:pt idx="86">
                  <c:v>3.99</c:v>
                </c:pt>
                <c:pt idx="87">
                  <c:v>3.4</c:v>
                </c:pt>
                <c:pt idx="88">
                  <c:v>3.87</c:v>
                </c:pt>
                <c:pt idx="89">
                  <c:v>3.97</c:v>
                </c:pt>
                <c:pt idx="90">
                  <c:v>4.05</c:v>
                </c:pt>
                <c:pt idx="91">
                  <c:v>4.12</c:v>
                </c:pt>
                <c:pt idx="92">
                  <c:v>4.09</c:v>
                </c:pt>
                <c:pt idx="93">
                  <c:v>3.68</c:v>
                </c:pt>
                <c:pt idx="94">
                  <c:v>3.37</c:v>
                </c:pt>
                <c:pt idx="95">
                  <c:v>3.14</c:v>
                </c:pt>
                <c:pt idx="96">
                  <c:v>3.13</c:v>
                </c:pt>
                <c:pt idx="97">
                  <c:v>3.16</c:v>
                </c:pt>
                <c:pt idx="98">
                  <c:v>3.2</c:v>
                </c:pt>
                <c:pt idx="99">
                  <c:v>3.12</c:v>
                </c:pt>
                <c:pt idx="100">
                  <c:v>3.1</c:v>
                </c:pt>
                <c:pt idx="101">
                  <c:v>3.23</c:v>
                </c:pt>
                <c:pt idx="102">
                  <c:v>3.33</c:v>
                </c:pt>
                <c:pt idx="103">
                  <c:v>3.27</c:v>
                </c:pt>
                <c:pt idx="104">
                  <c:v>3.18</c:v>
                </c:pt>
                <c:pt idx="105">
                  <c:v>3.15</c:v>
                </c:pt>
                <c:pt idx="106">
                  <c:v>3.01</c:v>
                </c:pt>
                <c:pt idx="107">
                  <c:v>3.21</c:v>
                </c:pt>
                <c:pt idx="108">
                  <c:v>3.25</c:v>
                </c:pt>
                <c:pt idx="109">
                  <c:v>3.31</c:v>
                </c:pt>
                <c:pt idx="110">
                  <c:v>3.43</c:v>
                </c:pt>
                <c:pt idx="111">
                  <c:v>3.79</c:v>
                </c:pt>
                <c:pt idx="112">
                  <c:v>3.75</c:v>
                </c:pt>
                <c:pt idx="113">
                  <c:v>3.82</c:v>
                </c:pt>
                <c:pt idx="114">
                  <c:v>3.86</c:v>
                </c:pt>
                <c:pt idx="115">
                  <c:v>3.84</c:v>
                </c:pt>
                <c:pt idx="116">
                  <c:v>3.8</c:v>
                </c:pt>
                <c:pt idx="117">
                  <c:v>3.62</c:v>
                </c:pt>
                <c:pt idx="118">
                  <c:v>3.72</c:v>
                </c:pt>
                <c:pt idx="119">
                  <c:v>3.86</c:v>
                </c:pt>
                <c:pt idx="120">
                  <c:v>3.51</c:v>
                </c:pt>
                <c:pt idx="121">
                  <c:v>2.85</c:v>
                </c:pt>
                <c:pt idx="122">
                  <c:v>2.19</c:v>
                </c:pt>
                <c:pt idx="123">
                  <c:v>1.97</c:v>
                </c:pt>
                <c:pt idx="124">
                  <c:v>1.88</c:v>
                </c:pt>
                <c:pt idx="125">
                  <c:v>1.97</c:v>
                </c:pt>
                <c:pt idx="126">
                  <c:v>1.75</c:v>
                </c:pt>
                <c:pt idx="127">
                  <c:v>1.49</c:v>
                </c:pt>
                <c:pt idx="128">
                  <c:v>1.61</c:v>
                </c:pt>
                <c:pt idx="129">
                  <c:v>1.6</c:v>
                </c:pt>
                <c:pt idx="130">
                  <c:v>1.56</c:v>
                </c:pt>
                <c:pt idx="131">
                  <c:v>1.51</c:v>
                </c:pt>
                <c:pt idx="132">
                  <c:v>1.95</c:v>
                </c:pt>
                <c:pt idx="133">
                  <c:v>3.3</c:v>
                </c:pt>
                <c:pt idx="134">
                  <c:v>3.63</c:v>
                </c:pt>
                <c:pt idx="135">
                  <c:v>3.97</c:v>
                </c:pt>
                <c:pt idx="136">
                  <c:v>4.4400000000000004</c:v>
                </c:pt>
                <c:pt idx="137">
                  <c:v>4.51</c:v>
                </c:pt>
                <c:pt idx="138">
                  <c:v>4.58</c:v>
                </c:pt>
                <c:pt idx="139">
                  <c:v>5.26</c:v>
                </c:pt>
                <c:pt idx="140">
                  <c:v>5.6226713901415648</c:v>
                </c:pt>
                <c:pt idx="141">
                  <c:v>6.9445991916718297</c:v>
                </c:pt>
                <c:pt idx="142">
                  <c:v>8.005195301860347</c:v>
                </c:pt>
                <c:pt idx="143">
                  <c:v>8.5278752531998681</c:v>
                </c:pt>
                <c:pt idx="144">
                  <c:v>9.2341040422196485</c:v>
                </c:pt>
                <c:pt idx="145">
                  <c:v>9.0667767289255288</c:v>
                </c:pt>
                <c:pt idx="146">
                  <c:v>9.6738344957970401</c:v>
                </c:pt>
                <c:pt idx="147">
                  <c:v>10.205825019961431</c:v>
                </c:pt>
                <c:pt idx="148">
                  <c:v>10.835976009571651</c:v>
                </c:pt>
                <c:pt idx="149">
                  <c:v>11.43988567411451</c:v>
                </c:pt>
                <c:pt idx="150">
                  <c:v>12.221753580520531</c:v>
                </c:pt>
                <c:pt idx="151">
                  <c:v>12.53146158418288</c:v>
                </c:pt>
                <c:pt idx="152">
                  <c:v>13.1224642994638</c:v>
                </c:pt>
                <c:pt idx="153">
                  <c:v>13.251978835328559</c:v>
                </c:pt>
                <c:pt idx="154">
                  <c:v>13.279013337512399</c:v>
                </c:pt>
                <c:pt idx="155">
                  <c:v>13.344330593537229</c:v>
                </c:pt>
                <c:pt idx="156">
                  <c:v>12.82287174741008</c:v>
                </c:pt>
                <c:pt idx="157">
                  <c:v>12.36025338147917</c:v>
                </c:pt>
                <c:pt idx="158">
                  <c:v>12.12961506226844</c:v>
                </c:pt>
                <c:pt idx="159">
                  <c:v>11.78</c:v>
                </c:pt>
                <c:pt idx="160">
                  <c:v>11.43</c:v>
                </c:pt>
                <c:pt idx="161">
                  <c:v>10.99</c:v>
                </c:pt>
                <c:pt idx="162">
                  <c:v>10.48</c:v>
                </c:pt>
                <c:pt idx="163">
                  <c:v>10.15</c:v>
                </c:pt>
                <c:pt idx="164">
                  <c:v>9.2760550452018151</c:v>
                </c:pt>
                <c:pt idx="165">
                  <c:v>8.3465636999175743</c:v>
                </c:pt>
                <c:pt idx="166">
                  <c:v>7.7373806718130433</c:v>
                </c:pt>
                <c:pt idx="167">
                  <c:v>7.3626914348644767</c:v>
                </c:pt>
                <c:pt idx="168">
                  <c:v>7.163281126755483</c:v>
                </c:pt>
                <c:pt idx="169">
                  <c:v>7.1569275409043343</c:v>
                </c:pt>
                <c:pt idx="170">
                  <c:v>7.1824626350778464</c:v>
                </c:pt>
                <c:pt idx="171">
                  <c:v>6.8600414451028602</c:v>
                </c:pt>
                <c:pt idx="172">
                  <c:v>6.1204537923945654</c:v>
                </c:pt>
                <c:pt idx="173">
                  <c:v>5.8087765966825522</c:v>
                </c:pt>
                <c:pt idx="174">
                  <c:v>5.4061275728907843</c:v>
                </c:pt>
                <c:pt idx="175">
                  <c:v>5.1973577964305786</c:v>
                </c:pt>
                <c:pt idx="176">
                  <c:v>5.2030659303403448</c:v>
                </c:pt>
                <c:pt idx="177">
                  <c:v>5.22298042310545</c:v>
                </c:pt>
                <c:pt idx="178">
                  <c:v>5.2765843800580248</c:v>
                </c:pt>
                <c:pt idx="179">
                  <c:v>5.08999660294156</c:v>
                </c:pt>
                <c:pt idx="180">
                  <c:v>5.1622882865170583</c:v>
                </c:pt>
                <c:pt idx="181">
                  <c:v>5.0521050746840324</c:v>
                </c:pt>
                <c:pt idx="182">
                  <c:v>4.8200721707341909</c:v>
                </c:pt>
                <c:pt idx="183">
                  <c:v>4.9004634898229371</c:v>
                </c:pt>
                <c:pt idx="184">
                  <c:v>5.0955737641477317</c:v>
                </c:pt>
                <c:pt idx="185">
                  <c:v>5.1767404992538726</c:v>
                </c:pt>
                <c:pt idx="186">
                  <c:v>5.5122302147269098</c:v>
                </c:pt>
                <c:pt idx="187">
                  <c:v>5.3010692833363793</c:v>
                </c:pt>
                <c:pt idx="188">
                  <c:v>5.0998843306039987</c:v>
                </c:pt>
                <c:pt idx="189">
                  <c:v>5.3536001715572157</c:v>
                </c:pt>
                <c:pt idx="190">
                  <c:v>5.2900378570263307</c:v>
                </c:pt>
                <c:pt idx="191">
                  <c:v>5.5589039903634951</c:v>
                </c:pt>
                <c:pt idx="192">
                  <c:v>5.6813168258595059</c:v>
                </c:pt>
                <c:pt idx="193">
                  <c:v>5.8420822567643471</c:v>
                </c:pt>
              </c:numCache>
            </c:numRef>
          </c:val>
          <c:smooth val="0"/>
          <c:extLst>
            <c:ext xmlns:c16="http://schemas.microsoft.com/office/drawing/2014/chart" uri="{C3380CC4-5D6E-409C-BE32-E72D297353CC}">
              <c16:uniqueId val="{00000000-A90E-4970-B4B7-57E95FDF4DFB}"/>
            </c:ext>
          </c:extLst>
        </c:ser>
        <c:dLbls>
          <c:showLegendKey val="0"/>
          <c:showVal val="0"/>
          <c:showCatName val="0"/>
          <c:showSerName val="0"/>
          <c:showPercent val="0"/>
          <c:showBubbleSize val="0"/>
        </c:dLbls>
        <c:smooth val="0"/>
        <c:axId val="859944128"/>
        <c:axId val="1"/>
      </c:lineChart>
      <c:dateAx>
        <c:axId val="859944128"/>
        <c:scaling>
          <c:orientation val="minMax"/>
          <c:max val="46143"/>
          <c:min val="41395"/>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majorUnit val="12"/>
        <c:majorTimeUnit val="months"/>
        <c:minorUnit val="1"/>
        <c:minorTimeUnit val="months"/>
      </c:dateAx>
      <c:valAx>
        <c:axId val="1"/>
        <c:scaling>
          <c:orientation val="minMax"/>
          <c:max val="14"/>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441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prstDash val="solid"/>
        </a:ln>
      </c:spPr>
    </c:title>
    <c:autoTitleDeleted val="0"/>
    <c:plotArea>
      <c:layout>
        <c:manualLayout>
          <c:layoutTarget val="inner"/>
          <c:xMode val="edge"/>
          <c:yMode val="edge"/>
          <c:x val="0.1166450984802871"/>
          <c:y val="0.17405215136050231"/>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Mes!$C$2:$C$200</c:f>
              <c:numCache>
                <c:formatCode>#,##0.00</c:formatCode>
                <c:ptCount val="199"/>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numCache>
            </c:numRef>
          </c:val>
          <c:smooth val="0"/>
          <c:extLst>
            <c:ext xmlns:c16="http://schemas.microsoft.com/office/drawing/2014/chart" uri="{C3380CC4-5D6E-409C-BE32-E72D297353CC}">
              <c16:uniqueId val="{00000000-C233-41B9-8BE9-00FAB75163A9}"/>
            </c:ext>
          </c:extLst>
        </c:ser>
        <c:dLbls>
          <c:showLegendKey val="0"/>
          <c:showVal val="0"/>
          <c:showCatName val="0"/>
          <c:showSerName val="0"/>
          <c:showPercent val="0"/>
          <c:showBubbleSize val="0"/>
        </c:dLbls>
        <c:smooth val="0"/>
        <c:axId val="859934144"/>
        <c:axId val="1"/>
      </c:lineChart>
      <c:dateAx>
        <c:axId val="859934144"/>
        <c:scaling>
          <c:orientation val="minMax"/>
          <c:min val="41334"/>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4"/>
          <c:min val="0"/>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34144"/>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Evolución de la TRM</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Mes!$D$2:$D$200</c:f>
              <c:numCache>
                <c:formatCode>#,##0.00</c:formatCode>
                <c:ptCount val="199"/>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numCache>
            </c:numRef>
          </c:val>
          <c:smooth val="0"/>
          <c:extLst>
            <c:ext xmlns:c16="http://schemas.microsoft.com/office/drawing/2014/chart" uri="{C3380CC4-5D6E-409C-BE32-E72D297353CC}">
              <c16:uniqueId val="{00000000-A016-4467-90B2-5A1E0E640DBD}"/>
            </c:ext>
          </c:extLst>
        </c:ser>
        <c:dLbls>
          <c:showLegendKey val="0"/>
          <c:showVal val="0"/>
          <c:showCatName val="0"/>
          <c:showSerName val="0"/>
          <c:showPercent val="0"/>
          <c:showBubbleSize val="0"/>
        </c:dLbls>
        <c:smooth val="0"/>
        <c:axId val="859948288"/>
        <c:axId val="1"/>
      </c:lineChart>
      <c:dateAx>
        <c:axId val="859948288"/>
        <c:scaling>
          <c:orientation val="minMax"/>
          <c:min val="41334"/>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prstDash val="solid"/>
              <a:round/>
            </a:ln>
          </c:spPr>
        </c:majorGridlines>
        <c:numFmt formatCode="#,##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4828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Devaluación nominal anual (%)</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Mes!$E$2:$E$200</c:f>
              <c:numCache>
                <c:formatCode>#,##0.00</c:formatCode>
                <c:ptCount val="199"/>
                <c:pt idx="0">
                  <c:v>-8.885758984484692</c:v>
                </c:pt>
                <c:pt idx="1">
                  <c:v>-18.100000000000001</c:v>
                </c:pt>
                <c:pt idx="2">
                  <c:v>-24.4</c:v>
                </c:pt>
                <c:pt idx="3">
                  <c:v>-24.7</c:v>
                </c:pt>
                <c:pt idx="4">
                  <c:v>-13.97</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3.48</c:v>
                </c:pt>
                <c:pt idx="42">
                  <c:v>8.09</c:v>
                </c:pt>
                <c:pt idx="43">
                  <c:v>5.66</c:v>
                </c:pt>
                <c:pt idx="44">
                  <c:v>5.73</c:v>
                </c:pt>
                <c:pt idx="45">
                  <c:v>6.34</c:v>
                </c:pt>
                <c:pt idx="46">
                  <c:v>2.96</c:v>
                </c:pt>
                <c:pt idx="47">
                  <c:v>6.27</c:v>
                </c:pt>
                <c:pt idx="48">
                  <c:v>8.9700000000000006</c:v>
                </c:pt>
                <c:pt idx="49">
                  <c:v>13.25</c:v>
                </c:pt>
                <c:pt idx="50">
                  <c:v>13.13</c:v>
                </c:pt>
                <c:pt idx="51">
                  <c:v>7.27</c:v>
                </c:pt>
                <c:pt idx="52">
                  <c:v>5.82</c:v>
                </c:pt>
                <c:pt idx="53">
                  <c:v>0.48</c:v>
                </c:pt>
                <c:pt idx="54">
                  <c:v>-2.48</c:v>
                </c:pt>
                <c:pt idx="55">
                  <c:v>-0.95</c:v>
                </c:pt>
                <c:pt idx="56">
                  <c:v>-0.86999999999999988</c:v>
                </c:pt>
                <c:pt idx="57">
                  <c:v>5.95</c:v>
                </c:pt>
                <c:pt idx="58">
                  <c:v>8.8351751005806722</c:v>
                </c:pt>
                <c:pt idx="59">
                  <c:v>14.19912209868108</c:v>
                </c:pt>
                <c:pt idx="60">
                  <c:v>24.1655984181272</c:v>
                </c:pt>
                <c:pt idx="61">
                  <c:v>21.55</c:v>
                </c:pt>
                <c:pt idx="62">
                  <c:v>21.51</c:v>
                </c:pt>
                <c:pt idx="63">
                  <c:v>31.08</c:v>
                </c:pt>
                <c:pt idx="64">
                  <c:v>23.41</c:v>
                </c:pt>
                <c:pt idx="65">
                  <c:v>33.31</c:v>
                </c:pt>
                <c:pt idx="66">
                  <c:v>37.419999999999987</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12.81</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-4.8500000000000014</c:v>
                </c:pt>
                <c:pt idx="90">
                  <c:v>4.1900000000000004</c:v>
                </c:pt>
                <c:pt idx="91">
                  <c:v>-2.81</c:v>
                </c:pt>
                <c:pt idx="92">
                  <c:v>0.11</c:v>
                </c:pt>
                <c:pt idx="93">
                  <c:v>1.97</c:v>
                </c:pt>
                <c:pt idx="94">
                  <c:v>1.475236381526202</c:v>
                </c:pt>
                <c:pt idx="95">
                  <c:v>-5.0235538325924427</c:v>
                </c:pt>
                <c:pt idx="96">
                  <c:v>-0.55686820785747493</c:v>
                </c:pt>
                <c:pt idx="97">
                  <c:v>-3.15</c:v>
                </c:pt>
                <c:pt idx="98">
                  <c:v>-1.39</c:v>
                </c:pt>
                <c:pt idx="99">
                  <c:v>-3.46</c:v>
                </c:pt>
                <c:pt idx="100">
                  <c:v>-4.8024831656970202</c:v>
                </c:pt>
                <c:pt idx="101">
                  <c:v>-1.4073318221351701</c:v>
                </c:pt>
                <c:pt idx="102">
                  <c:v>-3.5368928268153499</c:v>
                </c:pt>
                <c:pt idx="103">
                  <c:v>-3.99</c:v>
                </c:pt>
                <c:pt idx="104">
                  <c:v>3.07</c:v>
                </c:pt>
                <c:pt idx="105">
                  <c:v>1.21</c:v>
                </c:pt>
                <c:pt idx="106">
                  <c:v>6.3424806736976258</c:v>
                </c:pt>
                <c:pt idx="107">
                  <c:v>7.7818694716392356</c:v>
                </c:pt>
                <c:pt idx="108">
                  <c:v>8.9058310991957157</c:v>
                </c:pt>
                <c:pt idx="109">
                  <c:v>11.23</c:v>
                </c:pt>
                <c:pt idx="110">
                  <c:v>7.57</c:v>
                </c:pt>
                <c:pt idx="111">
                  <c:v>14.18</c:v>
                </c:pt>
                <c:pt idx="112">
                  <c:v>15.73</c:v>
                </c:pt>
                <c:pt idx="113">
                  <c:v>16.62</c:v>
                </c:pt>
                <c:pt idx="114">
                  <c:v>9.379999999999999</c:v>
                </c:pt>
                <c:pt idx="115">
                  <c:v>14.64</c:v>
                </c:pt>
                <c:pt idx="116">
                  <c:v>13.21</c:v>
                </c:pt>
                <c:pt idx="117">
                  <c:v>16.48</c:v>
                </c:pt>
                <c:pt idx="118">
                  <c:v>5.85</c:v>
                </c:pt>
                <c:pt idx="119">
                  <c:v>8.7200000000000006</c:v>
                </c:pt>
                <c:pt idx="120">
                  <c:v>0.8428340641587706</c:v>
                </c:pt>
                <c:pt idx="121">
                  <c:v>7.84</c:v>
                </c:pt>
                <c:pt idx="122">
                  <c:v>15.23</c:v>
                </c:pt>
                <c:pt idx="123">
                  <c:v>28.03</c:v>
                </c:pt>
                <c:pt idx="124">
                  <c:v>22.65</c:v>
                </c:pt>
                <c:pt idx="125">
                  <c:v>10.75</c:v>
                </c:pt>
                <c:pt idx="126">
                  <c:v>17.260000000000002</c:v>
                </c:pt>
                <c:pt idx="127">
                  <c:v>13.43</c:v>
                </c:pt>
                <c:pt idx="128">
                  <c:v>9.7200000000000006</c:v>
                </c:pt>
                <c:pt idx="129">
                  <c:v>12.04</c:v>
                </c:pt>
                <c:pt idx="130">
                  <c:v>13.82</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11.887758255465711</c:v>
                </c:pt>
                <c:pt idx="146">
                  <c:v>7.8978807468291112</c:v>
                </c:pt>
                <c:pt idx="147">
                  <c:v>0.30078326745894829</c:v>
                </c:pt>
                <c:pt idx="148">
                  <c:v>6.8243336053586354</c:v>
                </c:pt>
                <c:pt idx="149">
                  <c:v>5.3040416873021634</c:v>
                </c:pt>
                <c:pt idx="150">
                  <c:v>9.8704437706798931</c:v>
                </c:pt>
                <c:pt idx="151">
                  <c:v>11.179767728057749</c:v>
                </c:pt>
                <c:pt idx="152">
                  <c:v>15.58471920501619</c:v>
                </c:pt>
                <c:pt idx="153">
                  <c:v>18.18639364953529</c:v>
                </c:pt>
                <c:pt idx="154">
                  <c:v>27.340372683937389</c:v>
                </c:pt>
                <c:pt idx="155">
                  <c:v>19.908600890555441</c:v>
                </c:pt>
                <c:pt idx="156">
                  <c:v>20.824081423504719</c:v>
                </c:pt>
                <c:pt idx="157">
                  <c:v>16.3109526440014</c:v>
                </c:pt>
                <c:pt idx="158">
                  <c:v>22.950207638647392</c:v>
                </c:pt>
                <c:pt idx="159">
                  <c:v>23.45477102037006</c:v>
                </c:pt>
                <c:pt idx="160">
                  <c:v>17.717654118353021</c:v>
                </c:pt>
                <c:pt idx="161">
                  <c:v>12.685758395231501</c:v>
                </c:pt>
                <c:pt idx="162">
                  <c:v>1.545983374803428</c:v>
                </c:pt>
                <c:pt idx="163">
                  <c:v>-8.762411924749447</c:v>
                </c:pt>
                <c:pt idx="164">
                  <c:v>-7.1549670921057356</c:v>
                </c:pt>
                <c:pt idx="165">
                  <c:v>-10.55389700512127</c:v>
                </c:pt>
                <c:pt idx="166">
                  <c:v>-15.735030461993061</c:v>
                </c:pt>
                <c:pt idx="167">
                  <c:v>-17.233356412607531</c:v>
                </c:pt>
                <c:pt idx="168">
                  <c:v>-20.542804872978252</c:v>
                </c:pt>
                <c:pt idx="169">
                  <c:v>-15.25409092871638</c:v>
                </c:pt>
                <c:pt idx="170">
                  <c:v>-18.18957018722417</c:v>
                </c:pt>
                <c:pt idx="171">
                  <c:v>-16.96399821060799</c:v>
                </c:pt>
                <c:pt idx="172">
                  <c:v>-17.039194688370099</c:v>
                </c:pt>
                <c:pt idx="173">
                  <c:v>-12.12003674594262</c:v>
                </c:pt>
                <c:pt idx="174">
                  <c:v>-1.0316657441163499</c:v>
                </c:pt>
                <c:pt idx="175">
                  <c:v>4.2197125518352419</c:v>
                </c:pt>
                <c:pt idx="176">
                  <c:v>1.83534745051197</c:v>
                </c:pt>
                <c:pt idx="177">
                  <c:v>2.7246309598989442</c:v>
                </c:pt>
                <c:pt idx="178">
                  <c:v>8.6836927426166675</c:v>
                </c:pt>
                <c:pt idx="179">
                  <c:v>11.02628451994263</c:v>
                </c:pt>
                <c:pt idx="180">
                  <c:v>15.36</c:v>
                </c:pt>
                <c:pt idx="181">
                  <c:v>6.2260546158549026</c:v>
                </c:pt>
                <c:pt idx="182">
                  <c:v>4.7425233122158961</c:v>
                </c:pt>
                <c:pt idx="183">
                  <c:v>9.1161543866954631</c:v>
                </c:pt>
                <c:pt idx="184">
                  <c:v>8.4005431864182754</c:v>
                </c:pt>
                <c:pt idx="185">
                  <c:v>7.0825331929216029</c:v>
                </c:pt>
                <c:pt idx="186">
                  <c:v>-1.889326043143269</c:v>
                </c:pt>
                <c:pt idx="187">
                  <c:v>2.2166517895354509</c:v>
                </c:pt>
                <c:pt idx="188">
                  <c:v>-3.410803521852956</c:v>
                </c:pt>
                <c:pt idx="189">
                  <c:v>-6.3138026180235904</c:v>
                </c:pt>
                <c:pt idx="190">
                  <c:v>-12.30417858097729</c:v>
                </c:pt>
                <c:pt idx="191">
                  <c:v>-15.276530175876051</c:v>
                </c:pt>
                <c:pt idx="192">
                  <c:v>-14.78901829150743</c:v>
                </c:pt>
                <c:pt idx="193">
                  <c:v>-11.97934777134828</c:v>
                </c:pt>
                <c:pt idx="194">
                  <c:v>-8.5873920841919134</c:v>
                </c:pt>
                <c:pt idx="195">
                  <c:v>-12.46514667614375</c:v>
                </c:pt>
                <c:pt idx="196">
                  <c:v>-13.741208860563541</c:v>
                </c:pt>
                <c:pt idx="197">
                  <c:v>-11.34253456487785</c:v>
                </c:pt>
                <c:pt idx="198">
                  <c:v>-15.384048338071629</c:v>
                </c:pt>
              </c:numCache>
            </c:numRef>
          </c:val>
          <c:smooth val="0"/>
          <c:extLst>
            <c:ext xmlns:c16="http://schemas.microsoft.com/office/drawing/2014/chart" uri="{C3380CC4-5D6E-409C-BE32-E72D297353CC}">
              <c16:uniqueId val="{00000000-5DD2-4C42-ACA1-FA221D40286B}"/>
            </c:ext>
          </c:extLst>
        </c:ser>
        <c:dLbls>
          <c:showLegendKey val="0"/>
          <c:showVal val="0"/>
          <c:showCatName val="0"/>
          <c:showSerName val="0"/>
          <c:showPercent val="0"/>
          <c:showBubbleSize val="0"/>
        </c:dLbls>
        <c:smooth val="0"/>
        <c:axId val="859969920"/>
        <c:axId val="1"/>
      </c:lineChart>
      <c:dateAx>
        <c:axId val="859969920"/>
        <c:scaling>
          <c:orientation val="minMax"/>
          <c:min val="4133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992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Crecimiento anual de la economía</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spPr>
            <a:ln>
              <a:prstDash val="solid"/>
            </a:ln>
          </c:spPr>
          <c:marker>
            <c:symbol val="none"/>
          </c:marker>
          <c:cat>
            <c:numRef>
              <c:f>Trim!$A$2:$A$200</c:f>
              <c:numCache>
                <c:formatCode>mmm\-yy</c:formatCode>
                <c:ptCount val="199"/>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c:v>44896</c:v>
                </c:pt>
                <c:pt idx="53">
                  <c:v>44986</c:v>
                </c:pt>
                <c:pt idx="54">
                  <c:v>45078</c:v>
                </c:pt>
                <c:pt idx="55">
                  <c:v>45170</c:v>
                </c:pt>
                <c:pt idx="56">
                  <c:v>45261</c:v>
                </c:pt>
                <c:pt idx="57">
                  <c:v>45352</c:v>
                </c:pt>
                <c:pt idx="58">
                  <c:v>45444</c:v>
                </c:pt>
                <c:pt idx="59">
                  <c:v>45536</c:v>
                </c:pt>
                <c:pt idx="60">
                  <c:v>45627</c:v>
                </c:pt>
                <c:pt idx="61">
                  <c:v>45717</c:v>
                </c:pt>
                <c:pt idx="62">
                  <c:v>45809</c:v>
                </c:pt>
                <c:pt idx="63">
                  <c:v>45901</c:v>
                </c:pt>
                <c:pt idx="64">
                  <c:v>45992</c:v>
                </c:pt>
                <c:pt idx="65">
                  <c:v>46082</c:v>
                </c:pt>
              </c:numCache>
            </c:numRef>
          </c:cat>
          <c:val>
            <c:numRef>
              <c:f>Trim!$B$2:$B$200</c:f>
              <c:numCache>
                <c:formatCode>#,##0.00</c:formatCode>
                <c:ptCount val="199"/>
                <c:pt idx="0">
                  <c:v>3.1355892217460481</c:v>
                </c:pt>
                <c:pt idx="1">
                  <c:v>3.8514486444096678</c:v>
                </c:pt>
                <c:pt idx="2">
                  <c:v>4.4313455167122724</c:v>
                </c:pt>
                <c:pt idx="3">
                  <c:v>4.1501714946981583</c:v>
                </c:pt>
                <c:pt idx="4">
                  <c:v>5.5242493764073579</c:v>
                </c:pt>
                <c:pt idx="5">
                  <c:v>6.7094683846178507</c:v>
                </c:pt>
                <c:pt idx="6">
                  <c:v>6.614969577314965</c:v>
                </c:pt>
                <c:pt idx="7">
                  <c:v>7.9945869703148356</c:v>
                </c:pt>
                <c:pt idx="8">
                  <c:v>6.4747344436907586</c:v>
                </c:pt>
                <c:pt idx="9" formatCode="_(* #,##0.00_);_(* \(#,##0.00\);_(* &quot;-&quot;??_);_(@_)">
                  <c:v>5.7888134353392076</c:v>
                </c:pt>
                <c:pt idx="10" formatCode="_(* #,##0.00_);_(* \(#,##0.00\);_(* &quot;-&quot;??_);_(@_)">
                  <c:v>4.849427933843236</c:v>
                </c:pt>
                <c:pt idx="11" formatCode="_(* #,##0.00_);_(* \(#,##0.00\);_(* &quot;-&quot;??_);_(@_)">
                  <c:v>2.25170943583618</c:v>
                </c:pt>
                <c:pt idx="12" formatCode="_(* #,##0.00_);_(* \(#,##0.00\);_(* &quot;-&quot;??_);_(@_)">
                  <c:v>2.850677462512202</c:v>
                </c:pt>
                <c:pt idx="13" formatCode="_(* #,##0.00_);_(* \(#,##0.00\);_(* &quot;-&quot;??_);_(@_)">
                  <c:v>2.626389552475636</c:v>
                </c:pt>
                <c:pt idx="14" formatCode="_(* #,##0.00_);_(* \(#,##0.00\);_(* &quot;-&quot;??_);_(@_)">
                  <c:v>5.3661771455070344</c:v>
                </c:pt>
                <c:pt idx="15" formatCode="_(* #,##0.00_);_(* \(#,##0.00\);_(* &quot;-&quot;??_);_(@_)">
                  <c:v>6.1585273650371546</c:v>
                </c:pt>
                <c:pt idx="16" formatCode="_(* #,##0.00_);_(* \(#,##0.00\);_(* &quot;-&quot;??_);_(@_)">
                  <c:v>6.3661504038753387</c:v>
                </c:pt>
                <c:pt idx="17" formatCode="_(* #,##0.00_);_(* \(#,##0.00\);_(* &quot;-&quot;??_);_(@_)">
                  <c:v>6.6302673884289787</c:v>
                </c:pt>
                <c:pt idx="18" formatCode="_(* #,##0.00_);_(* \(#,##0.00\);_(* &quot;-&quot;??_);_(@_)">
                  <c:v>3.445167048219862</c:v>
                </c:pt>
                <c:pt idx="19" formatCode="_(* #,##0.00_);_(* \(#,##0.00\);_(* &quot;-&quot;??_);_(@_)">
                  <c:v>4.2223818513670981</c:v>
                </c:pt>
                <c:pt idx="20" formatCode="_(* #,##0.00_);_(* \(#,##0.00\);_(* &quot;-&quot;??_);_(@_)">
                  <c:v>3.7786575245108649</c:v>
                </c:pt>
                <c:pt idx="21" formatCode="_(* #,##0.00_);_(* \(#,##0.00\);_(* &quot;-&quot;??_);_(@_)">
                  <c:v>2.8916831477254461</c:v>
                </c:pt>
                <c:pt idx="22" formatCode="_(* #,##0.00_);_(* \(#,##0.00\);_(* &quot;-&quot;??_);_(@_)">
                  <c:v>3.4308635518774828</c:v>
                </c:pt>
                <c:pt idx="23" formatCode="_(* #,##0.00_);_(* \(#,##0.00\);_(* &quot;-&quot;??_);_(@_)">
                  <c:v>3.4268322132057172</c:v>
                </c:pt>
                <c:pt idx="24" formatCode="_(* #,##0.00_);_(* \(#,##0.00\);_(* &quot;-&quot;??_);_(@_)">
                  <c:v>2.087217574267477</c:v>
                </c:pt>
                <c:pt idx="25" formatCode="_(* #,##0.00_);_(* \(#,##0.00\);_(* &quot;-&quot;??_);_(@_)">
                  <c:v>2.2943213782090832</c:v>
                </c:pt>
                <c:pt idx="26" formatCode="_(* #,##0.00_);_(* \(#,##0.00\);_(* &quot;-&quot;??_);_(@_)">
                  <c:v>2.2300295867214039</c:v>
                </c:pt>
                <c:pt idx="27" formatCode="_(* #,##0.00_);_(* \(#,##0.00\);_(* &quot;-&quot;??_);_(@_)">
                  <c:v>1.456245767735876</c:v>
                </c:pt>
                <c:pt idx="28" formatCode="_(* #,##0.00_);_(* \(#,##0.00\);_(* &quot;-&quot;??_);_(@_)">
                  <c:v>2.3746324743635201</c:v>
                </c:pt>
                <c:pt idx="29" formatCode="_(* #,##0.00_);_(* \(#,##0.00\);_(* &quot;-&quot;??_);_(@_)">
                  <c:v>1.4349453934603349</c:v>
                </c:pt>
                <c:pt idx="30" formatCode="_(* #,##0.00_);_(* \(#,##0.00\);_(* &quot;-&quot;??_);_(@_)">
                  <c:v>1.179303856472973</c:v>
                </c:pt>
                <c:pt idx="31" formatCode="_(* #,##0.00_);_(* \(#,##0.00\);_(* &quot;-&quot;??_);_(@_)">
                  <c:v>1.4880657889900839</c:v>
                </c:pt>
                <c:pt idx="32" formatCode="_(* #,##0.00_);_(* \(#,##0.00\);_(* &quot;-&quot;??_);_(@_)">
                  <c:v>1.335496096645606</c:v>
                </c:pt>
                <c:pt idx="33" formatCode="_(* #,##0.00_);_(* \(#,##0.00\);_(* &quot;-&quot;??_);_(@_)">
                  <c:v>1.7638253521519081</c:v>
                </c:pt>
                <c:pt idx="34" formatCode="_(* #,##0.00_);_(* \(#,##0.00\);_(* &quot;-&quot;??_);_(@_)">
                  <c:v>2.738084955034227</c:v>
                </c:pt>
                <c:pt idx="35" formatCode="_(* #,##0.00_);_(* \(#,##0.00\);_(* &quot;-&quot;??_);_(@_)">
                  <c:v>2.8054092424505321</c:v>
                </c:pt>
                <c:pt idx="36" formatCode="_(* #,##0.00_);_(* \(#,##0.00\);_(* &quot;-&quot;??_);_(@_)">
                  <c:v>2.9417456335650169</c:v>
                </c:pt>
                <c:pt idx="37" formatCode="_(* #,##0.00_);_(* \(#,##0.00\);_(* &quot;-&quot;??_);_(@_)">
                  <c:v>3.561300473010808</c:v>
                </c:pt>
                <c:pt idx="38" formatCode="_(* #,##0.00_);_(* \(#,##0.00\);_(* &quot;-&quot;??_);_(@_)">
                  <c:v>3.0258174312103892</c:v>
                </c:pt>
                <c:pt idx="39" formatCode="_(* #,##0.00_);_(* \(#,##0.00\);_(* &quot;-&quot;??_);_(@_)">
                  <c:v>3.043042089413984</c:v>
                </c:pt>
                <c:pt idx="40" formatCode="_(* #,##0.00_);_(* \(#,##0.00\);_(* &quot;-&quot;??_);_(@_)">
                  <c:v>3.1238719914075119</c:v>
                </c:pt>
                <c:pt idx="41" formatCode="_(* #,##0.00_);_(* \(#,##0.00\);_(* &quot;-&quot;??_);_(@_)">
                  <c:v>0.15828154275267581</c:v>
                </c:pt>
                <c:pt idx="42" formatCode="_(* #,##0.00_);_(* \(#,##0.00\);_(* &quot;-&quot;??_);_(@_)">
                  <c:v>-16.633239641745241</c:v>
                </c:pt>
                <c:pt idx="43" formatCode="_(* #,##0.00_);_(* \(#,##0.00\);_(* &quot;-&quot;??_);_(@_)">
                  <c:v>-9.0127633562567642</c:v>
                </c:pt>
                <c:pt idx="44" formatCode="_(* #,##0.00_);_(* \(#,##0.00\);_(* &quot;-&quot;??_);_(@_)">
                  <c:v>-3.2373512160736069</c:v>
                </c:pt>
                <c:pt idx="45" formatCode="_(* #,##0.00_);_(* \(#,##0.00\);_(* &quot;-&quot;??_);_(@_)">
                  <c:v>1.8519361600606159</c:v>
                </c:pt>
                <c:pt idx="46" formatCode="_(* #,##0.00_);_(* \(#,##0.00\);_(* &quot;-&quot;??_);_(@_)">
                  <c:v>18.429080884818539</c:v>
                </c:pt>
                <c:pt idx="47" formatCode="_(* #,##0.00_);_(* \(#,##0.00\);_(* &quot;-&quot;??_);_(@_)">
                  <c:v>13.37560031170325</c:v>
                </c:pt>
                <c:pt idx="48" formatCode="_(* #,##0.00_);_(* \(#,##0.00\);_(* &quot;-&quot;??_);_(@_)">
                  <c:v>10.97928327715924</c:v>
                </c:pt>
                <c:pt idx="49" formatCode="_(* #,##0.00_);_(* \(#,##0.00\);_(* &quot;-&quot;??_);_(@_)">
                  <c:v>7.9744849372897404</c:v>
                </c:pt>
                <c:pt idx="50" formatCode="_(* #,##0.00_);_(* \(#,##0.00\);_(* &quot;-&quot;??_);_(@_)">
                  <c:v>12.33215038188647</c:v>
                </c:pt>
                <c:pt idx="51" formatCode="_(* #,##0.00_);_(* \(#,##0.00\);_(* &quot;-&quot;??_);_(@_)">
                  <c:v>7.3443381307535009</c:v>
                </c:pt>
                <c:pt idx="52" formatCode="_(* #,##0.00_);_(* \(#,##0.00\);_(* &quot;-&quot;??_);_(@_)">
                  <c:v>2.1717172392027968</c:v>
                </c:pt>
                <c:pt idx="53" formatCode="_(* #,##0.00_);_(* \(#,##0.00\);_(* &quot;-&quot;??_);_(@_)">
                  <c:v>2.7093815589989729</c:v>
                </c:pt>
                <c:pt idx="54" formatCode="_(* #,##0.00_);_(* \(#,##0.00\);_(* &quot;-&quot;??_);_(@_)">
                  <c:v>0.41706209186568649</c:v>
                </c:pt>
                <c:pt idx="55" formatCode="_(* #,##0.00_);_(* \(#,##0.00\);_(* &quot;-&quot;??_);_(@_)">
                  <c:v>-0.39691174127164058</c:v>
                </c:pt>
                <c:pt idx="56" formatCode="_(* #,##0.00_);_(* \(#,##0.00\);_(* &quot;-&quot;??_);_(@_)">
                  <c:v>0.6718294828364515</c:v>
                </c:pt>
                <c:pt idx="57" formatCode="_(* #,##0.00_);_(* \(#,##0.00\);_(* &quot;-&quot;??_);_(@_)">
                  <c:v>-2.021204353945923E-2</c:v>
                </c:pt>
                <c:pt idx="58" formatCode="_(* #,##0.00_);_(* \(#,##0.00\);_(* &quot;-&quot;??_);_(@_)">
                  <c:v>1.7027690270906679</c:v>
                </c:pt>
                <c:pt idx="59" formatCode="_(* #,##0.00_);_(* \(#,##0.00\);_(* &quot;-&quot;??_);_(@_)">
                  <c:v>1.717078187218624</c:v>
                </c:pt>
                <c:pt idx="60" formatCode="_(* #,##0.00_);_(* \(#,##0.00\);_(* &quot;-&quot;??_);_(@_)">
                  <c:v>2.5804950972347021</c:v>
                </c:pt>
                <c:pt idx="61" formatCode="_(* #,##0.00_);_(* \(#,##0.00\);_(* &quot;-&quot;??_);_(@_)">
                  <c:v>2.7645388827899922</c:v>
                </c:pt>
                <c:pt idx="62" formatCode="_(* #,##0.00_);_(* \(#,##0.00\);_(* &quot;-&quot;??_);_(@_)">
                  <c:v>1.8291952993814751</c:v>
                </c:pt>
                <c:pt idx="63" formatCode="_(* #,##0.00_);_(* \(#,##0.00\);_(* &quot;-&quot;??_);_(@_)">
                  <c:v>3.6933131629942189</c:v>
                </c:pt>
                <c:pt idx="64" formatCode="_(* #,##0.00_);_(* \(#,##0.00\);_(* &quot;-&quot;??_);_(@_)">
                  <c:v>2.0056449690633018</c:v>
                </c:pt>
                <c:pt idx="65" formatCode="_(* #,##0.00_);_(* \(#,##0.00\);_(* &quot;-&quot;??_);_(@_)">
                  <c:v>2.173279370102382</c:v>
                </c:pt>
              </c:numCache>
            </c:numRef>
          </c:val>
          <c:smooth val="0"/>
          <c:extLst>
            <c:ext xmlns:c16="http://schemas.microsoft.com/office/drawing/2014/chart" uri="{C3380CC4-5D6E-409C-BE32-E72D297353CC}">
              <c16:uniqueId val="{00000000-76E3-40B6-B9B1-E248C17E7689}"/>
            </c:ext>
          </c:extLst>
        </c:ser>
        <c:dLbls>
          <c:showLegendKey val="0"/>
          <c:showVal val="0"/>
          <c:showCatName val="0"/>
          <c:showSerName val="0"/>
          <c:showPercent val="0"/>
          <c:showBubbleSize val="0"/>
        </c:dLbls>
        <c:smooth val="0"/>
        <c:axId val="859964928"/>
        <c:axId val="1"/>
      </c:lineChart>
      <c:dateAx>
        <c:axId val="859964928"/>
        <c:scaling>
          <c:orientation val="minMax"/>
          <c:max val="46174"/>
          <c:min val="4124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49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Tasa de desempleo</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prstDash val="solid"/>
              <a:round/>
            </a:ln>
          </c:spPr>
          <c:marker>
            <c:symbol val="none"/>
          </c:marker>
          <c:cat>
            <c:numRef>
              <c:f>Mes!$A$2:$A$199</c:f>
              <c:numCache>
                <c:formatCode>mmm\-yy</c:formatCode>
                <c:ptCount val="198"/>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numCache>
            </c:numRef>
          </c:cat>
          <c:val>
            <c:numRef>
              <c:f>Mes!$F$2:$F$199</c:f>
              <c:numCache>
                <c:formatCode>#,##0.00</c:formatCode>
                <c:ptCount val="198"/>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12.661635826705909</c:v>
                </c:pt>
                <c:pt idx="170">
                  <c:v>11.66614479206765</c:v>
                </c:pt>
                <c:pt idx="171">
                  <c:v>11.28571949943578</c:v>
                </c:pt>
                <c:pt idx="172">
                  <c:v>10.646715730368969</c:v>
                </c:pt>
                <c:pt idx="173">
                  <c:v>10.305870827614299</c:v>
                </c:pt>
                <c:pt idx="174">
                  <c:v>10.26859017146683</c:v>
                </c:pt>
                <c:pt idx="175">
                  <c:v>9.9181446285116568</c:v>
                </c:pt>
                <c:pt idx="176">
                  <c:v>9.6626578419937097</c:v>
                </c:pt>
                <c:pt idx="177">
                  <c:v>9.1344769517755928</c:v>
                </c:pt>
                <c:pt idx="178">
                  <c:v>9.1337601500858749</c:v>
                </c:pt>
                <c:pt idx="179">
                  <c:v>8.1687634793625499</c:v>
                </c:pt>
                <c:pt idx="180">
                  <c:v>9.1252953803636494</c:v>
                </c:pt>
                <c:pt idx="181">
                  <c:v>11.636036642818439</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10.85945281420206</c:v>
                </c:pt>
                <c:pt idx="194">
                  <c:v>9.234958425182727</c:v>
                </c:pt>
                <c:pt idx="195">
                  <c:v>8.7933861147571992</c:v>
                </c:pt>
                <c:pt idx="196">
                  <c:v>8.7814568020438806</c:v>
                </c:pt>
                <c:pt idx="197">
                  <c:v>8.0206511267912095</c:v>
                </c:pt>
              </c:numCache>
            </c:numRef>
          </c:val>
          <c:smooth val="0"/>
          <c:extLst>
            <c:ext xmlns:c16="http://schemas.microsoft.com/office/drawing/2014/chart" uri="{C3380CC4-5D6E-409C-BE32-E72D297353CC}">
              <c16:uniqueId val="{00000000-994C-43C6-8CB7-C7ECB8359CCD}"/>
            </c:ext>
          </c:extLst>
        </c:ser>
        <c:dLbls>
          <c:showLegendKey val="0"/>
          <c:showVal val="0"/>
          <c:showCatName val="0"/>
          <c:showSerName val="0"/>
          <c:showPercent val="0"/>
          <c:showBubbleSize val="0"/>
        </c:dLbls>
        <c:smooth val="0"/>
        <c:axId val="859969920"/>
        <c:axId val="1"/>
      </c:lineChart>
      <c:dateAx>
        <c:axId val="859969920"/>
        <c:scaling>
          <c:orientation val="minMax"/>
          <c:max val="46174"/>
          <c:min val="4133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992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5353050" cy="10191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7</xdr:col>
      <xdr:colOff>0</xdr:colOff>
      <xdr:row>7</xdr:row>
      <xdr:rowOff>57150</xdr:rowOff>
    </xdr:from>
    <xdr:to>
      <xdr:col>12</xdr:col>
      <xdr:colOff>19050</xdr:colOff>
      <xdr:row>23</xdr:row>
      <xdr:rowOff>123825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93</xdr:row>
      <xdr:rowOff>9525</xdr:rowOff>
    </xdr:from>
    <xdr:to>
      <xdr:col>12</xdr:col>
      <xdr:colOff>19050</xdr:colOff>
      <xdr:row>109</xdr:row>
      <xdr:rowOff>76200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114</xdr:row>
      <xdr:rowOff>76200</xdr:rowOff>
    </xdr:from>
    <xdr:to>
      <xdr:col>12</xdr:col>
      <xdr:colOff>19050</xdr:colOff>
      <xdr:row>130</xdr:row>
      <xdr:rowOff>142875</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JDRAMIREZ@MANUELITA.COM;" TargetMode="External"/><Relationship Id="rId1" Type="http://schemas.openxmlformats.org/officeDocument/2006/relationships/hyperlink" Target="mailto:expectativas-trim@banrep.gov.co"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R160"/>
  <sheetViews>
    <sheetView tabSelected="1" topLeftCell="BI1" zoomScale="76" zoomScaleNormal="85" workbookViewId="0">
      <selection activeCell="BV3" sqref="BV3"/>
    </sheetView>
  </sheetViews>
  <sheetFormatPr baseColWidth="10" defaultColWidth="11.453125" defaultRowHeight="12.5" x14ac:dyDescent="0.25"/>
  <cols>
    <col min="1" max="1" width="20" style="18" customWidth="1"/>
    <col min="2" max="2" width="19" style="18" customWidth="1"/>
    <col min="3" max="3" width="39.7265625" style="18" customWidth="1"/>
    <col min="4" max="4" width="27.26953125" style="18" customWidth="1"/>
    <col min="5" max="5" width="19.7265625" style="18" customWidth="1"/>
    <col min="6" max="6" width="25.1796875" style="18" customWidth="1"/>
    <col min="7" max="7" width="21.26953125" style="18" customWidth="1"/>
    <col min="8" max="8" width="17" style="18" customWidth="1"/>
    <col min="9" max="10" width="7.7265625" style="18" customWidth="1"/>
    <col min="11" max="11" width="11.453125" style="15" customWidth="1"/>
    <col min="12" max="12" width="7.26953125" style="15" bestFit="1" customWidth="1"/>
    <col min="13" max="13" width="22" style="15" bestFit="1" customWidth="1"/>
    <col min="14" max="14" width="8.81640625" style="15" bestFit="1" customWidth="1"/>
    <col min="15" max="15" width="15.26953125" style="15" bestFit="1" customWidth="1"/>
    <col min="16" max="16" width="7.1796875" style="15" bestFit="1" customWidth="1"/>
    <col min="17" max="17" width="6" style="15" bestFit="1" customWidth="1"/>
    <col min="18" max="18" width="6.1796875" style="15" bestFit="1" customWidth="1"/>
    <col min="19" max="19" width="6" style="15" bestFit="1" customWidth="1"/>
    <col min="20" max="21" width="6.1796875" style="15" bestFit="1" customWidth="1"/>
    <col min="22" max="22" width="5.7265625" style="15" bestFit="1" customWidth="1"/>
    <col min="23" max="23" width="5" style="15" bestFit="1" customWidth="1"/>
    <col min="24" max="24" width="5.1796875" style="15" bestFit="1" customWidth="1"/>
    <col min="25" max="26" width="4.1796875" style="15" bestFit="1" customWidth="1"/>
    <col min="27" max="27" width="5.7265625" style="15" bestFit="1" customWidth="1"/>
    <col min="28" max="28" width="5.81640625" style="15" bestFit="1" customWidth="1"/>
    <col min="29" max="29" width="5.7265625" style="15" bestFit="1" customWidth="1"/>
    <col min="30" max="30" width="5.81640625" style="15" bestFit="1" customWidth="1"/>
    <col min="31" max="31" width="6.26953125" style="15" bestFit="1" customWidth="1"/>
    <col min="32" max="32" width="6.453125" style="15" bestFit="1" customWidth="1"/>
    <col min="33" max="33" width="5" style="15" bestFit="1" customWidth="1"/>
    <col min="34" max="35" width="5.1796875" style="15" bestFit="1" customWidth="1"/>
    <col min="36" max="36" width="4.7265625" style="15" bestFit="1" customWidth="1"/>
    <col min="37" max="37" width="5" style="15" bestFit="1" customWidth="1"/>
    <col min="38" max="38" width="5.1796875" style="15" bestFit="1" customWidth="1"/>
    <col min="39" max="39" width="6.7265625" style="15" bestFit="1" customWidth="1"/>
    <col min="40" max="41" width="5.453125" style="15" bestFit="1" customWidth="1"/>
    <col min="42" max="43" width="6.7265625" style="15" bestFit="1" customWidth="1"/>
    <col min="44" max="44" width="6" style="15" bestFit="1" customWidth="1"/>
    <col min="45" max="45" width="6.1796875" style="15" bestFit="1" customWidth="1"/>
    <col min="46" max="46" width="6" style="15" bestFit="1" customWidth="1"/>
    <col min="47" max="47" width="6.1796875" style="15" bestFit="1" customWidth="1"/>
    <col min="48" max="48" width="10.26953125" style="15" bestFit="1" customWidth="1"/>
    <col min="49" max="49" width="8" style="15" bestFit="1" customWidth="1"/>
    <col min="50" max="50" width="9.26953125" style="15" bestFit="1" customWidth="1"/>
    <col min="51" max="53" width="6.7265625" style="15" bestFit="1" customWidth="1"/>
    <col min="54" max="54" width="11.453125" style="15" bestFit="1" customWidth="1"/>
    <col min="55" max="55" width="9.54296875" style="15" bestFit="1" customWidth="1"/>
    <col min="56" max="64" width="11.453125" style="18" customWidth="1"/>
    <col min="65" max="65" width="17.1796875" style="18" customWidth="1"/>
    <col min="66" max="70" width="11.453125" style="18" customWidth="1"/>
    <col min="71" max="71" width="14.26953125" style="18" customWidth="1"/>
    <col min="72" max="72" width="11.453125" style="18" customWidth="1"/>
    <col min="73" max="16384" width="11.453125" style="18"/>
  </cols>
  <sheetData>
    <row r="1" spans="1:96" s="7" customFormat="1" ht="15.5" customHeight="1" x14ac:dyDescent="0.35">
      <c r="A1" s="3">
        <v>46174</v>
      </c>
      <c r="B1" s="4">
        <v>2</v>
      </c>
      <c r="C1" s="4">
        <v>4</v>
      </c>
      <c r="D1" s="4">
        <v>3</v>
      </c>
      <c r="E1" s="5"/>
      <c r="F1" s="5"/>
      <c r="G1" s="5"/>
      <c r="H1" s="148"/>
      <c r="I1" s="148"/>
      <c r="J1" s="148"/>
      <c r="K1" s="149"/>
      <c r="L1" s="150" t="s">
        <v>0</v>
      </c>
      <c r="M1" s="150" t="s">
        <v>1</v>
      </c>
      <c r="N1" s="150" t="s">
        <v>2</v>
      </c>
      <c r="O1" s="150" t="s">
        <v>3</v>
      </c>
      <c r="P1" s="150" t="s">
        <v>4</v>
      </c>
      <c r="Q1" s="151" t="s">
        <v>5</v>
      </c>
      <c r="R1" s="151" t="s">
        <v>6</v>
      </c>
      <c r="S1" s="151" t="s">
        <v>7</v>
      </c>
      <c r="T1" s="151" t="s">
        <v>8</v>
      </c>
      <c r="U1" s="151" t="s">
        <v>9</v>
      </c>
      <c r="V1" s="151" t="s">
        <v>10</v>
      </c>
      <c r="W1" s="151" t="s">
        <v>11</v>
      </c>
      <c r="X1" s="151" t="s">
        <v>12</v>
      </c>
      <c r="Y1" s="152" t="s">
        <v>13</v>
      </c>
      <c r="Z1" s="152" t="s">
        <v>14</v>
      </c>
      <c r="AA1" s="153" t="s">
        <v>15</v>
      </c>
      <c r="AB1" s="153" t="s">
        <v>16</v>
      </c>
      <c r="AC1" s="153" t="s">
        <v>17</v>
      </c>
      <c r="AD1" s="153" t="s">
        <v>18</v>
      </c>
      <c r="AE1" s="151" t="s">
        <v>19</v>
      </c>
      <c r="AF1" s="151" t="s">
        <v>20</v>
      </c>
      <c r="AG1" s="152" t="s">
        <v>21</v>
      </c>
      <c r="AH1" s="152" t="s">
        <v>22</v>
      </c>
      <c r="AI1" s="151" t="s">
        <v>23</v>
      </c>
      <c r="AJ1" s="151" t="s">
        <v>24</v>
      </c>
      <c r="AK1" s="151" t="s">
        <v>25</v>
      </c>
      <c r="AL1" s="151" t="s">
        <v>26</v>
      </c>
      <c r="AM1" s="150" t="s">
        <v>27</v>
      </c>
      <c r="AN1" s="150" t="s">
        <v>28</v>
      </c>
      <c r="AO1" s="150" t="s">
        <v>29</v>
      </c>
      <c r="AP1" s="150" t="s">
        <v>30</v>
      </c>
      <c r="AQ1" s="150" t="s">
        <v>31</v>
      </c>
      <c r="AR1" s="150" t="s">
        <v>32</v>
      </c>
      <c r="AS1" s="150" t="s">
        <v>33</v>
      </c>
      <c r="AT1" s="150" t="s">
        <v>34</v>
      </c>
      <c r="AU1" s="150" t="s">
        <v>35</v>
      </c>
      <c r="AV1" s="150" t="s">
        <v>36</v>
      </c>
      <c r="AW1" s="150" t="s">
        <v>37</v>
      </c>
      <c r="AX1" s="150" t="s">
        <v>38</v>
      </c>
      <c r="AY1" s="150" t="s">
        <v>39</v>
      </c>
      <c r="AZ1" s="150" t="s">
        <v>40</v>
      </c>
      <c r="BA1" s="150" t="s">
        <v>41</v>
      </c>
      <c r="BB1" s="150" t="s">
        <v>42</v>
      </c>
      <c r="BC1" s="150" t="s">
        <v>43</v>
      </c>
      <c r="BD1" s="150" t="s">
        <v>44</v>
      </c>
      <c r="BE1" s="150" t="s">
        <v>45</v>
      </c>
      <c r="BF1" s="150" t="s">
        <v>46</v>
      </c>
      <c r="BG1" s="150" t="s">
        <v>47</v>
      </c>
      <c r="BH1" s="150" t="s">
        <v>48</v>
      </c>
      <c r="BI1" s="151" t="s">
        <v>49</v>
      </c>
      <c r="BJ1" s="151" t="s">
        <v>50</v>
      </c>
      <c r="BK1" s="151" t="s">
        <v>51</v>
      </c>
      <c r="BL1" s="151" t="s">
        <v>52</v>
      </c>
      <c r="BM1" s="150" t="s">
        <v>53</v>
      </c>
      <c r="BN1" s="150" t="s">
        <v>54</v>
      </c>
      <c r="BO1" s="150" t="s">
        <v>55</v>
      </c>
      <c r="BP1" s="150" t="s">
        <v>56</v>
      </c>
      <c r="BQ1" s="150" t="s">
        <v>57</v>
      </c>
      <c r="BR1" s="150" t="s">
        <v>58</v>
      </c>
      <c r="BS1" s="150" t="s">
        <v>59</v>
      </c>
      <c r="BT1" s="150" t="s">
        <v>60</v>
      </c>
      <c r="BU1" s="154"/>
      <c r="BV1" s="154"/>
      <c r="BW1" s="154"/>
      <c r="BX1" s="154"/>
      <c r="BY1" s="154"/>
      <c r="BZ1" s="154"/>
      <c r="CA1" s="154"/>
      <c r="CB1" s="154"/>
      <c r="CC1" s="154"/>
      <c r="CD1" s="154"/>
      <c r="CE1" s="154"/>
      <c r="CF1" s="154"/>
      <c r="CG1" s="154"/>
      <c r="CH1" s="154"/>
      <c r="CI1" s="154"/>
      <c r="CJ1" s="154"/>
      <c r="CK1" s="154"/>
      <c r="CL1" s="154"/>
      <c r="CM1" s="154"/>
      <c r="CN1" s="154"/>
      <c r="CO1" s="154"/>
      <c r="CP1" s="154"/>
      <c r="CQ1" s="154"/>
      <c r="CR1" s="154"/>
    </row>
    <row r="2" spans="1:96" s="7" customFormat="1" ht="15.5" customHeight="1" x14ac:dyDescent="0.35">
      <c r="A2" s="5"/>
      <c r="B2" s="5"/>
      <c r="C2" s="5"/>
      <c r="D2" s="5"/>
      <c r="E2" s="5"/>
      <c r="F2" s="5"/>
      <c r="G2" s="5"/>
      <c r="H2" s="148"/>
      <c r="I2" s="148"/>
      <c r="J2" s="148"/>
      <c r="K2" s="149"/>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4"/>
      <c r="AV2" s="154"/>
      <c r="AW2" s="154"/>
      <c r="AX2" s="154"/>
      <c r="AY2" s="154"/>
      <c r="AZ2" s="154"/>
      <c r="BA2" s="154"/>
      <c r="BB2" s="154"/>
      <c r="BC2" s="154"/>
      <c r="BD2" s="154"/>
      <c r="BE2" s="154"/>
      <c r="BF2" s="154"/>
      <c r="BG2" s="154"/>
      <c r="BH2" s="154"/>
      <c r="BI2" s="154"/>
      <c r="BJ2" s="154"/>
      <c r="BK2" s="154"/>
      <c r="BL2" s="154"/>
      <c r="BM2" s="154"/>
      <c r="BN2" s="154"/>
      <c r="BO2" s="154"/>
      <c r="BP2" s="154"/>
      <c r="BQ2" s="154"/>
      <c r="BR2" s="154"/>
      <c r="BS2" s="154"/>
      <c r="BT2" s="154"/>
      <c r="BU2" s="154"/>
      <c r="BV2" s="154"/>
      <c r="BW2" s="154"/>
      <c r="BX2" s="154"/>
      <c r="BY2" s="154"/>
      <c r="BZ2" s="154"/>
      <c r="CA2" s="154"/>
      <c r="CB2" s="154"/>
      <c r="CC2" s="154"/>
      <c r="CD2" s="154"/>
      <c r="CE2" s="154"/>
      <c r="CF2" s="154"/>
      <c r="CG2" s="154"/>
      <c r="CH2" s="154"/>
      <c r="CI2" s="154"/>
      <c r="CJ2" s="154"/>
      <c r="CK2" s="154"/>
      <c r="CL2" s="154"/>
      <c r="CM2" s="154"/>
      <c r="CN2" s="154"/>
      <c r="CO2" s="154"/>
      <c r="CP2" s="154"/>
      <c r="CQ2" s="154"/>
      <c r="CR2" s="154"/>
    </row>
    <row r="3" spans="1:96" s="7" customFormat="1" ht="15.5" customHeight="1" x14ac:dyDescent="0.35">
      <c r="A3" s="5"/>
      <c r="B3" s="5"/>
      <c r="C3" s="5"/>
      <c r="D3" s="5"/>
      <c r="E3" s="5"/>
      <c r="F3" s="5"/>
      <c r="G3" s="5"/>
      <c r="H3" s="148"/>
      <c r="I3" s="148"/>
      <c r="J3" s="148"/>
      <c r="K3" s="149"/>
      <c r="L3" s="155" t="str">
        <f>$B$146</f>
        <v>EE008-1</v>
      </c>
      <c r="M3" s="155"/>
      <c r="N3" s="155" t="str">
        <f>B145</f>
        <v>CALI</v>
      </c>
      <c r="O3" s="155" t="s">
        <v>267</v>
      </c>
      <c r="P3" s="155">
        <v>1</v>
      </c>
      <c r="Q3" s="155">
        <f>IF($D$25=0,"sd",IF($D$25=" ","sd",$D$25))</f>
        <v>5.88</v>
      </c>
      <c r="R3" s="155">
        <f>IF($D$26=0,"sd",IF($D$26=" ","sd",$D$26))</f>
        <v>6.2</v>
      </c>
      <c r="S3" s="155">
        <f>IF($D$27=0,"sd",IF($D$27=" ","sd",$D$27))</f>
        <v>4.54</v>
      </c>
      <c r="T3" s="155">
        <f>IF($D$28=0,"sd",IF($D$28=" ","sd",$D$28))</f>
        <v>3.66</v>
      </c>
      <c r="U3" s="155">
        <f>IF($D$29=0,"sd",IF($D$29=" ","sd",$D$29))</f>
        <v>4.2</v>
      </c>
      <c r="V3" s="155">
        <f>IF($D$30=0,"sd",IF($D$30=" ","sd",$D$30))</f>
        <v>3.4</v>
      </c>
      <c r="W3" s="155">
        <f>IF($D$35=0,"sd",IF($D$35=" ","sd",$D$35))</f>
        <v>6.1</v>
      </c>
      <c r="X3" s="155">
        <f>IF($D$36=0,"sd",IF($D$36=" ","sd",$D$36))</f>
        <v>7.2</v>
      </c>
      <c r="Y3" s="155">
        <f>IF($D$46="X",1,IF($E$46="X",-1,IF($F$46="X",0,IF($G$46="X",2,"sd"))))</f>
        <v>1</v>
      </c>
      <c r="Z3" s="155">
        <f>IF($D$54="X",1,IF($E$54="X",-1,IF($F$54="X",0,IF($G$54="X",2,"sd"))))</f>
        <v>0</v>
      </c>
      <c r="AA3" s="155">
        <f>IF($D$74=0,"sd",IF($D$74=" ","sd",$D$74))</f>
        <v>3343</v>
      </c>
      <c r="AB3" s="155">
        <f>IF($D$75=0,"sd",IF($D$75=" ","sd",$D$75))</f>
        <v>3416</v>
      </c>
      <c r="AC3" s="155">
        <f>IF($D$76=0,"sd",IF($D$76=" ","sd",$D$76))</f>
        <v>3490</v>
      </c>
      <c r="AD3" s="155">
        <f>IF($D$77=0,"sd",IF($D$77=" ","sd",$D$77))</f>
        <v>3565</v>
      </c>
      <c r="AE3" s="155">
        <f>IF($D$87=" ","sd",$D$87)</f>
        <v>2.5</v>
      </c>
      <c r="AF3" s="155">
        <f>IF($D$88=" ","sd",$D$88)</f>
        <v>2.4</v>
      </c>
      <c r="AG3" s="155">
        <f>IF($D$94="X",1,IF($E$94="X",-1,IF($F$94="X",0,IF($G$94="X",2,"sd"))))</f>
        <v>0</v>
      </c>
      <c r="AH3" s="155">
        <f>IF($D$95="X",1,IF($E$95="X",-1,IF($F$95="X",0,IF($G$95="X",2,"sd"))))</f>
        <v>0</v>
      </c>
      <c r="AI3" s="155">
        <f>IF($D$65=0,"sd",IF($D$65=" ","sd",$D$65))</f>
        <v>11.83</v>
      </c>
      <c r="AJ3" s="155">
        <f>IF($D$66=0,"sd",IF($D$66=" ","sd",$D$66))</f>
        <v>11.95</v>
      </c>
      <c r="AK3" s="155">
        <f>IF($D$67=0,"sd",IF($D$67=" ","sd",$D$67))</f>
        <v>11.53</v>
      </c>
      <c r="AL3" s="155">
        <f>IF($D$68=0,"sd",IF($D$68=" ","sd",$D$68))</f>
        <v>11.1</v>
      </c>
      <c r="AM3" s="156" t="s">
        <v>61</v>
      </c>
      <c r="AN3" s="156" t="s">
        <v>61</v>
      </c>
      <c r="AO3" s="156" t="s">
        <v>61</v>
      </c>
      <c r="AP3" s="156" t="s">
        <v>61</v>
      </c>
      <c r="AQ3" s="156" t="s">
        <v>61</v>
      </c>
      <c r="AR3" s="156" t="s">
        <v>61</v>
      </c>
      <c r="AS3" s="156" t="s">
        <v>61</v>
      </c>
      <c r="AT3" s="156" t="s">
        <v>61</v>
      </c>
      <c r="AU3" s="156" t="s">
        <v>61</v>
      </c>
      <c r="AV3" s="156" t="s">
        <v>61</v>
      </c>
      <c r="AW3" s="156" t="s">
        <v>61</v>
      </c>
      <c r="AX3" s="156" t="s">
        <v>61</v>
      </c>
      <c r="AY3" s="156" t="s">
        <v>61</v>
      </c>
      <c r="AZ3" s="156" t="s">
        <v>61</v>
      </c>
      <c r="BA3" s="156" t="s">
        <v>61</v>
      </c>
      <c r="BB3" s="156" t="s">
        <v>61</v>
      </c>
      <c r="BC3" s="156" t="s">
        <v>61</v>
      </c>
      <c r="BD3" s="155">
        <f>VLOOKUP(C102,$L$5:$M$14,2,0)</f>
        <v>1</v>
      </c>
      <c r="BE3" s="155">
        <f>IF($D$108="X",1,IF($E$108="X",0,"sd"))</f>
        <v>1</v>
      </c>
      <c r="BF3" s="155">
        <f>IF($D$115="X",1,IF($E$115="X",2,IF($F$115="X",0,"sd")))</f>
        <v>1</v>
      </c>
      <c r="BG3" s="155">
        <f>VLOOKUP(C120,$L$16:$M$22,2,0)</f>
        <v>2</v>
      </c>
      <c r="BH3" s="155" t="e">
        <f>VLOOKUP(C125,$L$24:$M$32,2,0)</f>
        <v>#N/A</v>
      </c>
      <c r="BI3" s="155">
        <f>IF($D$133="X",1,IF($E$133="X",0,"sd"))</f>
        <v>0</v>
      </c>
      <c r="BJ3" s="155">
        <f>IF($D$134="X",1,IF($E$134="X",0,"sd"))</f>
        <v>1</v>
      </c>
      <c r="BK3" s="155">
        <f>IF($D$135="X",1,IF($E$135="X",0,"sd"))</f>
        <v>1</v>
      </c>
      <c r="BL3" s="155">
        <f>IF($E$137="X",1,IF($G$137="X",2,IF($E$138="X",3,IF($G$138="X",4,"sd"))))</f>
        <v>3</v>
      </c>
      <c r="BM3" s="155" t="str">
        <f>$B$142</f>
        <v>MANUELITA</v>
      </c>
      <c r="BN3" s="155" t="str">
        <f>$E$142</f>
        <v>Analista Planeación Financiera</v>
      </c>
      <c r="BO3" s="155" t="str">
        <f>+$B$143</f>
        <v>MANUELITA</v>
      </c>
      <c r="BP3" s="155" t="str">
        <f>+$E$143</f>
        <v>JDRAMIREZ@MANUELITA.COM;</v>
      </c>
      <c r="BQ3" s="155" t="str">
        <f>$E$144</f>
        <v>6878900  3165374825  3057686256</v>
      </c>
      <c r="BR3" s="155" t="str">
        <f>+$B$144</f>
        <v>Km 7 Vía El Cerrito</v>
      </c>
      <c r="BS3" s="157">
        <f>$E$146</f>
        <v>46219</v>
      </c>
      <c r="BT3" s="156" t="s">
        <v>62</v>
      </c>
      <c r="BU3" s="154"/>
      <c r="BV3" s="154"/>
      <c r="BW3" s="154"/>
      <c r="BX3" s="154"/>
      <c r="BY3" s="154"/>
      <c r="BZ3" s="154"/>
      <c r="CA3" s="154"/>
      <c r="CB3" s="154"/>
      <c r="CC3" s="154"/>
      <c r="CD3" s="154"/>
      <c r="CE3" s="154"/>
      <c r="CF3" s="154"/>
      <c r="CG3" s="154"/>
      <c r="CH3" s="154"/>
      <c r="CI3" s="154"/>
      <c r="CJ3" s="154"/>
      <c r="CK3" s="154"/>
      <c r="CL3" s="154"/>
      <c r="CM3" s="154"/>
      <c r="CN3" s="154"/>
      <c r="CO3" s="154"/>
      <c r="CP3" s="154"/>
      <c r="CQ3" s="154"/>
      <c r="CR3" s="154"/>
    </row>
    <row r="4" spans="1:96" s="9" customFormat="1" ht="15.5" customHeight="1" x14ac:dyDescent="0.35">
      <c r="A4" s="8"/>
      <c r="B4" s="8"/>
      <c r="C4" s="8"/>
      <c r="D4" s="8"/>
      <c r="E4" s="8"/>
      <c r="F4" s="8"/>
      <c r="G4" s="8"/>
      <c r="H4" s="148"/>
      <c r="I4" s="148"/>
      <c r="J4" s="148"/>
      <c r="K4" s="149"/>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6"/>
      <c r="AV4" s="156"/>
      <c r="AW4" s="156"/>
      <c r="AX4" s="156"/>
      <c r="AY4" s="156"/>
      <c r="AZ4" s="156"/>
      <c r="BA4" s="156"/>
      <c r="BB4" s="156"/>
      <c r="BC4" s="156"/>
      <c r="BD4" s="156"/>
      <c r="BE4" s="156"/>
      <c r="BF4" s="156"/>
      <c r="BG4" s="156"/>
      <c r="BH4" s="156"/>
      <c r="BI4" s="156"/>
      <c r="BJ4" s="156"/>
      <c r="BK4" s="156"/>
      <c r="BL4" s="156"/>
      <c r="BM4" s="156"/>
      <c r="BN4" s="156"/>
      <c r="BO4" s="156"/>
      <c r="BP4" s="156"/>
      <c r="BQ4" s="156"/>
      <c r="BR4" s="156"/>
      <c r="BS4" s="156"/>
      <c r="BT4" s="154"/>
      <c r="BU4" s="154"/>
      <c r="BV4" s="154"/>
      <c r="BW4" s="154"/>
      <c r="BX4" s="154"/>
      <c r="BY4" s="154"/>
      <c r="BZ4" s="154"/>
      <c r="CA4" s="154"/>
      <c r="CB4" s="154"/>
      <c r="CC4" s="154"/>
      <c r="CD4" s="154"/>
      <c r="CE4" s="154"/>
      <c r="CF4" s="154"/>
      <c r="CG4" s="154"/>
      <c r="CH4" s="154"/>
      <c r="CI4" s="154"/>
      <c r="CJ4" s="154"/>
      <c r="CK4" s="154"/>
      <c r="CL4" s="154"/>
      <c r="CM4" s="154"/>
      <c r="CN4" s="154"/>
      <c r="CO4" s="154"/>
      <c r="CP4" s="154"/>
      <c r="CQ4" s="154"/>
      <c r="CR4" s="154"/>
    </row>
    <row r="5" spans="1:96" s="7" customFormat="1" ht="15.75" customHeight="1" x14ac:dyDescent="0.35">
      <c r="A5" s="5"/>
      <c r="B5" s="5"/>
      <c r="C5" s="5"/>
      <c r="D5" s="5"/>
      <c r="E5" s="5"/>
      <c r="F5" s="5"/>
      <c r="G5" s="5"/>
      <c r="H5" s="148"/>
      <c r="I5" s="148"/>
      <c r="J5" s="148"/>
      <c r="K5" s="149"/>
      <c r="L5" s="10" t="s">
        <v>63</v>
      </c>
      <c r="M5" s="11" t="s">
        <v>61</v>
      </c>
      <c r="N5" s="10"/>
      <c r="P5" s="10"/>
      <c r="Q5" s="154"/>
      <c r="R5" s="154"/>
      <c r="S5" s="154"/>
      <c r="T5" s="154"/>
      <c r="U5" s="154"/>
      <c r="V5" s="154"/>
      <c r="W5" s="154"/>
      <c r="X5" s="154"/>
      <c r="Y5" s="154"/>
      <c r="Z5" s="154"/>
      <c r="AA5" s="154"/>
      <c r="AB5" s="154"/>
      <c r="AC5" s="154"/>
      <c r="AD5" s="154"/>
      <c r="AE5" s="154"/>
      <c r="AF5" s="154"/>
      <c r="AG5" s="154"/>
      <c r="AH5" s="154"/>
      <c r="AI5" s="154"/>
      <c r="AJ5" s="154"/>
      <c r="AK5" s="154"/>
      <c r="AL5" s="154"/>
      <c r="AM5" s="154"/>
      <c r="AN5" s="154"/>
      <c r="AO5" s="154"/>
      <c r="AP5" s="154"/>
      <c r="AQ5" s="154"/>
      <c r="AR5" s="154"/>
      <c r="AS5" s="154"/>
      <c r="AT5" s="154"/>
      <c r="AU5" s="154"/>
      <c r="AV5" s="154"/>
      <c r="AW5" s="25"/>
      <c r="AX5" s="89"/>
      <c r="AY5" s="25"/>
      <c r="AZ5" s="25"/>
      <c r="BA5" s="154"/>
      <c r="BB5" s="154"/>
      <c r="BC5" s="154"/>
      <c r="BD5" s="154"/>
      <c r="BE5" s="154"/>
      <c r="BF5" s="154"/>
      <c r="BG5" s="154"/>
      <c r="BH5" s="154"/>
      <c r="BI5" s="154"/>
      <c r="BJ5" s="154"/>
      <c r="BK5" s="154"/>
      <c r="BL5" s="154"/>
      <c r="BM5" s="154"/>
      <c r="BN5" s="154"/>
      <c r="BO5" s="154"/>
      <c r="BP5" s="154"/>
      <c r="BQ5" s="154"/>
      <c r="BR5" s="154"/>
      <c r="BS5" s="154"/>
      <c r="BT5" s="154"/>
      <c r="BU5" s="154"/>
      <c r="BV5" s="154"/>
      <c r="BW5" s="154"/>
      <c r="BX5" s="154"/>
      <c r="BY5" s="154"/>
      <c r="BZ5" s="154"/>
      <c r="CA5" s="154"/>
      <c r="CB5" s="154"/>
      <c r="CC5" s="154"/>
      <c r="CD5" s="154"/>
      <c r="CE5" s="154"/>
      <c r="CF5" s="154"/>
      <c r="CG5" s="154"/>
      <c r="CH5" s="154"/>
      <c r="CI5" s="154"/>
      <c r="CJ5" s="154"/>
      <c r="CK5" s="154"/>
      <c r="CL5" s="154"/>
      <c r="CM5" s="154"/>
      <c r="CN5" s="154"/>
      <c r="CO5" s="154"/>
      <c r="CP5" s="154"/>
      <c r="CQ5" s="154"/>
      <c r="CR5" s="154"/>
    </row>
    <row r="6" spans="1:96" s="15" customFormat="1" ht="15.75" customHeight="1" x14ac:dyDescent="0.35">
      <c r="A6" s="12" t="s">
        <v>64</v>
      </c>
      <c r="B6" s="12"/>
      <c r="C6" s="12"/>
      <c r="D6" s="12"/>
      <c r="E6" s="12"/>
      <c r="F6" s="12"/>
      <c r="G6" s="12"/>
      <c r="H6" s="12"/>
      <c r="I6" s="12"/>
      <c r="J6" s="12"/>
      <c r="K6" s="14"/>
      <c r="L6" s="10" t="s">
        <v>65</v>
      </c>
      <c r="M6" s="11">
        <v>1</v>
      </c>
      <c r="N6" s="10"/>
      <c r="P6" s="10"/>
      <c r="AW6" s="12"/>
      <c r="AX6" s="13"/>
      <c r="AY6" s="12"/>
      <c r="AZ6" s="12"/>
    </row>
    <row r="7" spans="1:96" ht="19.5" customHeight="1" x14ac:dyDescent="0.35">
      <c r="A7" s="16" t="s">
        <v>66</v>
      </c>
      <c r="B7" s="17"/>
      <c r="C7" s="17"/>
      <c r="D7" s="17"/>
      <c r="E7" s="17"/>
      <c r="F7" s="17"/>
      <c r="G7" s="17"/>
      <c r="H7" s="17"/>
      <c r="I7" s="17"/>
      <c r="J7" s="17"/>
      <c r="K7" s="14"/>
      <c r="L7" s="10" t="s">
        <v>67</v>
      </c>
      <c r="M7" s="11">
        <v>2</v>
      </c>
      <c r="N7" s="10"/>
      <c r="P7" s="10"/>
      <c r="AW7" s="12"/>
      <c r="AX7" s="13"/>
      <c r="AY7" s="12"/>
      <c r="AZ7" s="12"/>
    </row>
    <row r="8" spans="1:96" ht="15.75" customHeight="1" x14ac:dyDescent="0.35">
      <c r="A8" s="19" t="s">
        <v>68</v>
      </c>
      <c r="B8" s="20"/>
      <c r="C8" s="20"/>
      <c r="D8" s="20"/>
      <c r="E8" s="20"/>
      <c r="F8" s="20"/>
      <c r="G8" s="20"/>
      <c r="H8" s="20"/>
      <c r="I8" s="20"/>
      <c r="J8" s="20"/>
      <c r="K8" s="12"/>
      <c r="L8" s="10" t="s">
        <v>69</v>
      </c>
      <c r="M8" s="11">
        <v>3</v>
      </c>
      <c r="AW8" s="12"/>
      <c r="AX8" s="13"/>
      <c r="AY8" s="12"/>
      <c r="AZ8" s="12"/>
    </row>
    <row r="9" spans="1:96" ht="15.75" customHeight="1" x14ac:dyDescent="0.35">
      <c r="L9" s="10" t="s">
        <v>70</v>
      </c>
      <c r="M9" s="11">
        <v>4</v>
      </c>
      <c r="AW9" s="12"/>
      <c r="AX9" s="13"/>
      <c r="AY9" s="12"/>
      <c r="AZ9" s="12"/>
    </row>
    <row r="10" spans="1:96" ht="20.25" customHeight="1" x14ac:dyDescent="0.5">
      <c r="A10" s="21"/>
      <c r="B10" s="21"/>
      <c r="C10" s="21"/>
      <c r="D10" s="22" t="s">
        <v>71</v>
      </c>
      <c r="F10" s="23"/>
      <c r="G10" s="24"/>
      <c r="H10" s="21"/>
      <c r="I10" s="21"/>
      <c r="J10" s="21"/>
      <c r="K10" s="12"/>
      <c r="L10" s="10" t="s">
        <v>72</v>
      </c>
      <c r="M10" s="11">
        <v>5</v>
      </c>
    </row>
    <row r="11" spans="1:96" ht="15.75" customHeight="1" x14ac:dyDescent="0.35">
      <c r="A11" s="25"/>
      <c r="B11" s="25"/>
      <c r="C11" s="25"/>
      <c r="D11" s="25"/>
      <c r="E11" s="25"/>
      <c r="F11" s="25"/>
      <c r="G11" s="25"/>
      <c r="H11" s="25"/>
      <c r="I11" s="25"/>
      <c r="J11" s="25"/>
      <c r="K11" s="12"/>
      <c r="L11" s="10" t="s">
        <v>73</v>
      </c>
      <c r="M11" s="11">
        <v>6</v>
      </c>
    </row>
    <row r="12" spans="1:96" ht="15.75" customHeight="1" x14ac:dyDescent="0.35">
      <c r="A12" s="26" t="s">
        <v>74</v>
      </c>
      <c r="B12" s="27"/>
      <c r="C12" s="25"/>
      <c r="D12" s="26" t="s">
        <v>75</v>
      </c>
      <c r="F12" s="26" t="s">
        <v>76</v>
      </c>
      <c r="G12" s="27" t="s">
        <v>77</v>
      </c>
      <c r="H12" s="21"/>
      <c r="K12" s="12"/>
      <c r="L12" s="10" t="s">
        <v>78</v>
      </c>
      <c r="M12" s="11">
        <v>7</v>
      </c>
    </row>
    <row r="13" spans="1:96" ht="15.5" customHeight="1" x14ac:dyDescent="0.35">
      <c r="A13" s="26" t="s">
        <v>79</v>
      </c>
      <c r="B13" s="28" t="s">
        <v>80</v>
      </c>
      <c r="C13" s="25"/>
      <c r="D13" s="26" t="s">
        <v>81</v>
      </c>
      <c r="G13" s="21"/>
      <c r="H13" s="21"/>
      <c r="K13" s="12"/>
      <c r="L13" s="10" t="s">
        <v>82</v>
      </c>
      <c r="M13" s="11">
        <v>8</v>
      </c>
    </row>
    <row r="14" spans="1:96" ht="15.5" customHeight="1" x14ac:dyDescent="0.35">
      <c r="A14" s="25"/>
      <c r="B14" s="25"/>
      <c r="C14" s="25"/>
      <c r="D14" s="25"/>
      <c r="E14" s="25"/>
      <c r="F14" s="25"/>
      <c r="G14" s="25"/>
      <c r="H14" s="25"/>
      <c r="I14" s="25"/>
      <c r="J14" s="25"/>
      <c r="K14" s="12"/>
      <c r="L14" s="10" t="s">
        <v>83</v>
      </c>
      <c r="M14" s="29">
        <v>9</v>
      </c>
    </row>
    <row r="15" spans="1:96" ht="18.75" customHeight="1" x14ac:dyDescent="0.4">
      <c r="A15" s="30" t="s">
        <v>84</v>
      </c>
      <c r="B15" s="31"/>
      <c r="C15" s="31"/>
      <c r="D15" s="31"/>
      <c r="E15" s="31"/>
      <c r="F15" s="31"/>
      <c r="G15" s="31"/>
      <c r="H15" s="25"/>
      <c r="I15" s="25"/>
      <c r="J15" s="25"/>
      <c r="K15" s="12"/>
      <c r="M15" s="32"/>
    </row>
    <row r="16" spans="1:96" ht="15.75" customHeight="1" x14ac:dyDescent="0.35">
      <c r="A16" s="33" t="s">
        <v>85</v>
      </c>
      <c r="B16" s="25"/>
      <c r="C16" s="25"/>
      <c r="D16" s="25"/>
      <c r="E16" s="25"/>
      <c r="F16" s="25"/>
      <c r="G16" s="25"/>
      <c r="H16" s="25"/>
      <c r="I16" s="25"/>
      <c r="J16" s="25"/>
      <c r="K16" s="12"/>
      <c r="L16" s="10" t="s">
        <v>63</v>
      </c>
      <c r="M16" s="11" t="s">
        <v>61</v>
      </c>
      <c r="BD16" s="34"/>
      <c r="BE16" s="34"/>
      <c r="BF16" s="34"/>
      <c r="BG16" s="34"/>
      <c r="BH16" s="34"/>
      <c r="BI16" s="34"/>
      <c r="BJ16" s="34"/>
      <c r="BK16" s="34"/>
      <c r="BL16" s="34"/>
      <c r="BM16" s="34"/>
      <c r="BN16" s="34"/>
      <c r="BO16" s="34"/>
      <c r="BP16" s="34"/>
      <c r="BQ16" s="34"/>
      <c r="BR16" s="34"/>
      <c r="BS16" s="34"/>
    </row>
    <row r="17" spans="1:71" ht="15.75" customHeight="1" x14ac:dyDescent="0.35">
      <c r="A17" s="26" t="s">
        <v>86</v>
      </c>
      <c r="B17" s="27"/>
      <c r="C17" s="27"/>
      <c r="D17" s="27"/>
      <c r="E17" s="27"/>
      <c r="F17" s="27"/>
      <c r="G17" s="27"/>
      <c r="H17" s="21"/>
      <c r="I17" s="25"/>
      <c r="J17" s="25"/>
      <c r="K17" s="12"/>
      <c r="L17" s="10" t="s">
        <v>87</v>
      </c>
      <c r="M17" s="11">
        <v>1</v>
      </c>
      <c r="BD17" s="15"/>
      <c r="BE17" s="15"/>
      <c r="BF17" s="15"/>
      <c r="BG17" s="15"/>
      <c r="BH17" s="15"/>
      <c r="BI17" s="15"/>
      <c r="BJ17" s="15"/>
      <c r="BK17" s="15"/>
      <c r="BL17" s="15"/>
      <c r="BM17" s="15"/>
      <c r="BN17" s="15"/>
      <c r="BO17" s="15"/>
      <c r="BP17" s="15"/>
      <c r="BQ17" s="15"/>
      <c r="BR17" s="15"/>
      <c r="BS17" s="15"/>
    </row>
    <row r="18" spans="1:71" ht="15.75" customHeight="1" x14ac:dyDescent="0.35">
      <c r="A18" s="27" t="s">
        <v>88</v>
      </c>
      <c r="B18" s="27"/>
      <c r="C18" s="27"/>
      <c r="D18" s="27"/>
      <c r="E18" s="27"/>
      <c r="F18" s="27"/>
      <c r="G18" s="27"/>
      <c r="H18" s="21"/>
      <c r="I18" s="25"/>
      <c r="J18" s="25"/>
      <c r="K18" s="12"/>
      <c r="L18" s="10" t="s">
        <v>89</v>
      </c>
      <c r="M18" s="11">
        <v>2</v>
      </c>
      <c r="BD18" s="15"/>
      <c r="BE18" s="15"/>
      <c r="BF18" s="15"/>
      <c r="BG18" s="15"/>
      <c r="BH18" s="15"/>
      <c r="BI18" s="15"/>
      <c r="BJ18" s="15"/>
      <c r="BK18" s="15"/>
      <c r="BL18" s="15"/>
      <c r="BM18" s="15"/>
      <c r="BN18" s="15"/>
      <c r="BO18" s="15"/>
      <c r="BP18" s="15"/>
      <c r="BQ18" s="15"/>
      <c r="BR18" s="15"/>
      <c r="BS18" s="15"/>
    </row>
    <row r="19" spans="1:71" ht="15.75" customHeight="1" x14ac:dyDescent="0.35">
      <c r="A19" s="26" t="s">
        <v>90</v>
      </c>
      <c r="B19" s="27"/>
      <c r="C19" s="27"/>
      <c r="D19" s="127">
        <v>5.8400000000000001E-2</v>
      </c>
      <c r="E19" s="35"/>
      <c r="F19" s="35"/>
      <c r="G19" s="27"/>
      <c r="H19" s="21"/>
      <c r="I19" s="25"/>
      <c r="J19" s="25"/>
      <c r="K19" s="12"/>
      <c r="L19" s="10" t="s">
        <v>91</v>
      </c>
      <c r="M19" s="11">
        <v>3</v>
      </c>
      <c r="BD19" s="15"/>
      <c r="BE19" s="15"/>
      <c r="BF19" s="15"/>
      <c r="BG19" s="15"/>
      <c r="BH19" s="15"/>
      <c r="BI19" s="15"/>
      <c r="BJ19" s="15"/>
      <c r="BK19" s="15"/>
      <c r="BL19" s="15"/>
      <c r="BM19" s="15"/>
      <c r="BN19" s="15"/>
      <c r="BO19" s="15"/>
      <c r="BP19" s="15"/>
      <c r="BQ19" s="15"/>
      <c r="BR19" s="15"/>
      <c r="BS19" s="15"/>
    </row>
    <row r="20" spans="1:71" s="34" customFormat="1" ht="15.5" customHeight="1" x14ac:dyDescent="0.35">
      <c r="A20" s="12" t="s">
        <v>92</v>
      </c>
      <c r="B20" s="25"/>
      <c r="C20" s="25"/>
      <c r="D20" s="25"/>
      <c r="E20" s="36"/>
      <c r="F20" s="25"/>
      <c r="G20" s="25"/>
      <c r="H20" s="21"/>
      <c r="I20" s="25"/>
      <c r="J20" s="25"/>
      <c r="K20" s="12"/>
      <c r="L20" s="12" t="s">
        <v>93</v>
      </c>
      <c r="M20" s="11">
        <v>4</v>
      </c>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row>
    <row r="21" spans="1:71" ht="15.5" customHeight="1" x14ac:dyDescent="0.35">
      <c r="A21" s="33" t="s">
        <v>94</v>
      </c>
      <c r="B21" s="25"/>
      <c r="C21" s="25"/>
      <c r="D21" s="25"/>
      <c r="E21" s="25"/>
      <c r="F21" s="25"/>
      <c r="G21" s="25"/>
      <c r="I21" s="25"/>
      <c r="J21" s="25"/>
      <c r="K21" s="12"/>
      <c r="L21" s="10" t="s">
        <v>95</v>
      </c>
      <c r="M21" s="11">
        <v>5</v>
      </c>
    </row>
    <row r="22" spans="1:71" ht="15.5" customHeight="1" x14ac:dyDescent="0.35">
      <c r="A22" s="33"/>
      <c r="B22" s="25"/>
      <c r="C22" s="25"/>
      <c r="D22" s="25"/>
      <c r="E22" s="25"/>
      <c r="F22" s="25"/>
      <c r="G22" s="25"/>
      <c r="I22" s="37"/>
      <c r="J22" s="37"/>
      <c r="K22" s="12"/>
      <c r="L22" s="10" t="s">
        <v>96</v>
      </c>
      <c r="M22" s="29">
        <v>6</v>
      </c>
    </row>
    <row r="23" spans="1:71" ht="15.75" customHeight="1" x14ac:dyDescent="0.35">
      <c r="A23" s="25"/>
      <c r="B23" s="25"/>
      <c r="C23" s="25"/>
      <c r="D23" s="38" t="s">
        <v>97</v>
      </c>
      <c r="G23" s="25"/>
      <c r="H23" s="25"/>
      <c r="L23" s="39"/>
      <c r="M23" s="40"/>
    </row>
    <row r="24" spans="1:71" ht="15.75" customHeight="1" x14ac:dyDescent="0.35">
      <c r="A24" s="25"/>
      <c r="B24" s="25"/>
      <c r="C24" s="25"/>
      <c r="D24" s="41" t="s">
        <v>98</v>
      </c>
      <c r="E24" s="42"/>
      <c r="G24" s="25"/>
      <c r="H24" s="25"/>
      <c r="L24" s="10" t="s">
        <v>63</v>
      </c>
      <c r="M24" s="11" t="s">
        <v>61</v>
      </c>
    </row>
    <row r="25" spans="1:71" ht="15.75" customHeight="1" x14ac:dyDescent="0.35">
      <c r="A25" s="6">
        <v>3</v>
      </c>
      <c r="B25" s="43"/>
      <c r="C25" s="25" t="s">
        <v>99</v>
      </c>
      <c r="D25" s="139">
        <v>5.88</v>
      </c>
      <c r="E25" s="42"/>
      <c r="F25" s="142"/>
      <c r="G25" s="25"/>
      <c r="H25" s="25"/>
      <c r="L25" s="39" t="s">
        <v>100</v>
      </c>
      <c r="M25" s="11">
        <v>1</v>
      </c>
    </row>
    <row r="26" spans="1:71" ht="15.75" customHeight="1" x14ac:dyDescent="0.35">
      <c r="A26" s="6">
        <v>6</v>
      </c>
      <c r="C26" s="25" t="s">
        <v>101</v>
      </c>
      <c r="D26" s="140">
        <v>6.2</v>
      </c>
      <c r="E26" s="42"/>
      <c r="F26" s="143"/>
      <c r="G26" s="25"/>
      <c r="H26" s="25"/>
      <c r="L26" s="39" t="s">
        <v>102</v>
      </c>
      <c r="M26" s="11">
        <v>2</v>
      </c>
    </row>
    <row r="27" spans="1:71" ht="15.75" customHeight="1" x14ac:dyDescent="0.35">
      <c r="A27" s="6">
        <v>9</v>
      </c>
      <c r="C27" s="25" t="s">
        <v>103</v>
      </c>
      <c r="D27" s="140">
        <v>4.54</v>
      </c>
      <c r="E27" s="42"/>
      <c r="F27" s="143"/>
      <c r="G27" s="25"/>
      <c r="H27" s="25"/>
      <c r="L27" s="39" t="s">
        <v>104</v>
      </c>
      <c r="M27" s="11">
        <v>3</v>
      </c>
    </row>
    <row r="28" spans="1:71" ht="15.75" customHeight="1" x14ac:dyDescent="0.35">
      <c r="A28" s="6">
        <v>12</v>
      </c>
      <c r="C28" s="25" t="s">
        <v>105</v>
      </c>
      <c r="D28" s="140">
        <v>3.66</v>
      </c>
      <c r="E28" s="42"/>
      <c r="F28" s="143"/>
      <c r="G28" s="25"/>
      <c r="H28" s="25"/>
      <c r="L28" s="39" t="s">
        <v>106</v>
      </c>
      <c r="M28" s="11">
        <v>4</v>
      </c>
    </row>
    <row r="29" spans="1:71" ht="15.75" customHeight="1" x14ac:dyDescent="0.35">
      <c r="A29" s="6">
        <v>24</v>
      </c>
      <c r="C29" s="25" t="s">
        <v>107</v>
      </c>
      <c r="D29" s="141">
        <v>4.2</v>
      </c>
      <c r="E29" s="42"/>
      <c r="F29" s="144"/>
      <c r="G29" s="25"/>
      <c r="H29" s="25"/>
      <c r="L29" s="39" t="s">
        <v>108</v>
      </c>
      <c r="M29" s="11">
        <v>5</v>
      </c>
    </row>
    <row r="30" spans="1:71" ht="15.75" customHeight="1" x14ac:dyDescent="0.35">
      <c r="A30" s="6">
        <v>60</v>
      </c>
      <c r="C30" s="25" t="s">
        <v>109</v>
      </c>
      <c r="D30" s="141">
        <v>3.4</v>
      </c>
      <c r="E30" s="42"/>
      <c r="F30" s="144"/>
      <c r="H30" s="25"/>
      <c r="I30" s="25"/>
      <c r="J30" s="25"/>
      <c r="K30" s="12"/>
      <c r="L30" s="39" t="s">
        <v>110</v>
      </c>
      <c r="M30" s="11">
        <v>6</v>
      </c>
    </row>
    <row r="31" spans="1:71" ht="15.5" customHeight="1" x14ac:dyDescent="0.35">
      <c r="A31" s="25"/>
      <c r="B31" s="25"/>
      <c r="C31" s="25"/>
      <c r="I31" s="25"/>
      <c r="J31" s="25"/>
      <c r="K31" s="12"/>
      <c r="L31" s="39" t="s">
        <v>111</v>
      </c>
      <c r="M31" s="11">
        <v>7</v>
      </c>
    </row>
    <row r="32" spans="1:71" ht="15.5" customHeight="1" x14ac:dyDescent="0.35">
      <c r="A32" s="33" t="s">
        <v>112</v>
      </c>
      <c r="B32" s="25"/>
      <c r="C32" s="25"/>
      <c r="D32" s="25"/>
      <c r="E32" s="25"/>
      <c r="G32" s="25"/>
      <c r="H32" s="25"/>
      <c r="I32" s="25"/>
      <c r="J32" s="25"/>
      <c r="K32" s="12"/>
      <c r="L32" s="39" t="s">
        <v>113</v>
      </c>
      <c r="M32" s="11">
        <v>8</v>
      </c>
    </row>
    <row r="33" spans="1:11" ht="15.5" customHeight="1" x14ac:dyDescent="0.35">
      <c r="A33" s="33"/>
      <c r="B33" s="25"/>
      <c r="C33" s="25"/>
      <c r="D33" s="25"/>
      <c r="E33" s="25"/>
      <c r="H33" s="25"/>
      <c r="I33" s="25"/>
      <c r="J33" s="25"/>
      <c r="K33" s="12"/>
    </row>
    <row r="34" spans="1:11" ht="15.5" customHeight="1" x14ac:dyDescent="0.35">
      <c r="A34" s="33"/>
      <c r="B34" s="25"/>
      <c r="C34" s="25"/>
      <c r="D34" s="45" t="s">
        <v>114</v>
      </c>
      <c r="E34" s="38" t="s">
        <v>115</v>
      </c>
      <c r="G34" s="145"/>
      <c r="I34" s="25"/>
      <c r="J34" s="25"/>
      <c r="K34" s="12"/>
    </row>
    <row r="35" spans="1:11" ht="15.5" customHeight="1" x14ac:dyDescent="0.35">
      <c r="A35" s="33"/>
      <c r="C35" s="25" t="s">
        <v>116</v>
      </c>
      <c r="D35" s="140">
        <v>6.1</v>
      </c>
      <c r="E35" s="44"/>
      <c r="F35" s="46"/>
      <c r="G35" s="143"/>
      <c r="I35" s="25"/>
      <c r="J35" s="25"/>
      <c r="K35" s="12"/>
    </row>
    <row r="36" spans="1:11" ht="15.5" customHeight="1" x14ac:dyDescent="0.35">
      <c r="A36" s="33"/>
      <c r="C36" s="25" t="s">
        <v>117</v>
      </c>
      <c r="D36" s="140">
        <v>7.2</v>
      </c>
      <c r="E36" s="47"/>
      <c r="G36" s="143"/>
      <c r="I36" s="25"/>
      <c r="J36" s="25"/>
      <c r="K36" s="12"/>
    </row>
    <row r="37" spans="1:11" ht="15.5" customHeight="1" x14ac:dyDescent="0.35">
      <c r="A37" s="33"/>
      <c r="C37" s="25"/>
      <c r="D37" s="21"/>
      <c r="G37" s="25"/>
      <c r="I37" s="25"/>
      <c r="J37" s="25"/>
      <c r="K37" s="12"/>
    </row>
    <row r="38" spans="1:11" ht="15.5" customHeight="1" x14ac:dyDescent="0.35">
      <c r="A38" s="26" t="s">
        <v>118</v>
      </c>
      <c r="B38" s="27"/>
      <c r="C38" s="27"/>
      <c r="D38" s="25"/>
      <c r="E38" s="25"/>
      <c r="F38" s="25"/>
      <c r="G38" s="25"/>
      <c r="H38" s="25"/>
      <c r="I38" s="25"/>
      <c r="J38" s="25"/>
      <c r="K38" s="12"/>
    </row>
    <row r="39" spans="1:11" ht="15.5" customHeight="1" x14ac:dyDescent="0.35">
      <c r="A39" s="33"/>
      <c r="B39" s="25"/>
      <c r="C39" s="25"/>
      <c r="D39" s="25"/>
      <c r="E39" s="25"/>
      <c r="F39" s="25"/>
      <c r="G39" s="25"/>
      <c r="H39" s="25"/>
      <c r="I39" s="25"/>
      <c r="J39" s="25"/>
      <c r="K39" s="12"/>
    </row>
    <row r="40" spans="1:11" ht="15.5" customHeight="1" x14ac:dyDescent="0.35">
      <c r="A40" s="33" t="s">
        <v>119</v>
      </c>
      <c r="B40" s="25"/>
      <c r="C40" s="25"/>
      <c r="D40" s="25"/>
      <c r="E40" s="25"/>
      <c r="F40" s="25"/>
      <c r="G40" s="25"/>
      <c r="H40" s="25"/>
      <c r="I40" s="25"/>
      <c r="J40" s="25"/>
      <c r="K40" s="12"/>
    </row>
    <row r="41" spans="1:11" ht="15.5" customHeight="1" x14ac:dyDescent="0.35">
      <c r="A41" s="33"/>
      <c r="B41" s="25"/>
      <c r="C41" s="25"/>
      <c r="D41" s="25"/>
      <c r="E41" s="25"/>
      <c r="F41" s="25"/>
      <c r="G41" s="25"/>
      <c r="H41" s="25"/>
      <c r="I41" s="25"/>
      <c r="J41" s="25"/>
      <c r="K41" s="12"/>
    </row>
    <row r="42" spans="1:11" ht="15.5" customHeight="1" x14ac:dyDescent="0.35">
      <c r="A42" s="25"/>
      <c r="B42" s="25"/>
      <c r="C42" s="25"/>
      <c r="D42" s="48" t="s">
        <v>120</v>
      </c>
      <c r="E42" s="49"/>
      <c r="F42" s="49"/>
      <c r="G42" s="49"/>
      <c r="I42" s="49"/>
      <c r="J42" s="49"/>
      <c r="K42" s="12"/>
    </row>
    <row r="43" spans="1:11" ht="15.5" customHeight="1" x14ac:dyDescent="0.35">
      <c r="A43" s="33"/>
      <c r="B43" s="25"/>
      <c r="C43" s="25"/>
      <c r="D43" s="50" t="s">
        <v>121</v>
      </c>
      <c r="E43" s="50"/>
      <c r="F43" s="50"/>
      <c r="G43" s="51"/>
      <c r="I43" s="25"/>
      <c r="J43" s="25"/>
      <c r="K43" s="12"/>
    </row>
    <row r="44" spans="1:11" ht="15.5" customHeight="1" x14ac:dyDescent="0.35">
      <c r="A44" s="33"/>
      <c r="B44" s="25"/>
      <c r="C44" s="25"/>
      <c r="D44" s="41" t="s">
        <v>122</v>
      </c>
      <c r="E44" s="41" t="s">
        <v>123</v>
      </c>
      <c r="F44" s="41" t="s">
        <v>124</v>
      </c>
      <c r="G44" s="52" t="s">
        <v>125</v>
      </c>
      <c r="I44" s="25"/>
      <c r="J44" s="25"/>
      <c r="K44" s="12"/>
    </row>
    <row r="45" spans="1:11" ht="15.5" customHeight="1" x14ac:dyDescent="0.35">
      <c r="A45" s="33"/>
      <c r="B45" s="25"/>
      <c r="C45" s="25"/>
      <c r="D45" s="53"/>
      <c r="E45" s="54"/>
      <c r="F45" s="54" t="s">
        <v>126</v>
      </c>
      <c r="G45" s="55" t="s">
        <v>127</v>
      </c>
      <c r="I45" s="25"/>
      <c r="J45" s="25"/>
      <c r="K45" s="12"/>
    </row>
    <row r="46" spans="1:11" ht="15.5" customHeight="1" x14ac:dyDescent="0.35">
      <c r="A46" s="25"/>
      <c r="C46" s="25" t="s">
        <v>128</v>
      </c>
      <c r="D46" s="56" t="s">
        <v>92</v>
      </c>
      <c r="E46" s="56"/>
      <c r="F46" s="56"/>
      <c r="G46" s="57"/>
      <c r="H46" s="58"/>
      <c r="I46" s="25"/>
      <c r="J46" s="25"/>
      <c r="K46" s="12"/>
    </row>
    <row r="47" spans="1:11" ht="15.5" customHeight="1" x14ac:dyDescent="0.35">
      <c r="A47" s="25"/>
      <c r="B47" s="25"/>
      <c r="C47" s="25"/>
      <c r="D47" s="25"/>
      <c r="E47" s="49"/>
      <c r="F47" s="21"/>
      <c r="G47" s="21"/>
      <c r="H47" s="21"/>
      <c r="I47" s="25"/>
      <c r="J47" s="25"/>
      <c r="K47" s="12"/>
    </row>
    <row r="48" spans="1:11" ht="15.5" customHeight="1" x14ac:dyDescent="0.35">
      <c r="A48" s="25" t="s">
        <v>129</v>
      </c>
      <c r="B48" s="25"/>
      <c r="C48" s="25"/>
      <c r="D48" s="25"/>
      <c r="E48" s="25"/>
      <c r="F48" s="25"/>
      <c r="G48" s="25"/>
      <c r="H48" s="25"/>
      <c r="I48" s="25"/>
      <c r="J48" s="25"/>
      <c r="K48" s="12"/>
    </row>
    <row r="49" spans="1:11" ht="15.5" customHeight="1" x14ac:dyDescent="0.35">
      <c r="A49" s="25"/>
      <c r="B49" s="25"/>
      <c r="C49" s="25"/>
      <c r="D49" s="25"/>
      <c r="E49" s="25"/>
      <c r="F49" s="25"/>
      <c r="G49" s="25"/>
      <c r="H49" s="25"/>
      <c r="I49" s="25"/>
      <c r="J49" s="25"/>
      <c r="K49" s="12"/>
    </row>
    <row r="50" spans="1:11" ht="15.5" customHeight="1" x14ac:dyDescent="0.35">
      <c r="A50" s="25"/>
      <c r="B50" s="25"/>
      <c r="C50" s="25"/>
      <c r="D50" s="48" t="s">
        <v>120</v>
      </c>
      <c r="E50" s="49"/>
      <c r="F50" s="49"/>
      <c r="G50" s="49"/>
      <c r="I50" s="25"/>
      <c r="J50" s="25"/>
      <c r="K50" s="12"/>
    </row>
    <row r="51" spans="1:11" ht="15.5" customHeight="1" x14ac:dyDescent="0.35">
      <c r="A51" s="25"/>
      <c r="B51" s="25"/>
      <c r="C51" s="25"/>
      <c r="D51" s="59" t="s">
        <v>121</v>
      </c>
      <c r="E51" s="60"/>
      <c r="F51" s="50"/>
      <c r="G51" s="51"/>
      <c r="I51" s="25"/>
      <c r="J51" s="25"/>
      <c r="K51" s="12"/>
    </row>
    <row r="52" spans="1:11" ht="15.5" customHeight="1" x14ac:dyDescent="0.35">
      <c r="A52" s="33"/>
      <c r="B52" s="25"/>
      <c r="C52" s="25"/>
      <c r="D52" s="61" t="s">
        <v>130</v>
      </c>
      <c r="E52" s="41" t="s">
        <v>131</v>
      </c>
      <c r="F52" s="41" t="s">
        <v>132</v>
      </c>
      <c r="G52" s="52" t="s">
        <v>125</v>
      </c>
      <c r="I52" s="25"/>
      <c r="J52" s="25"/>
      <c r="K52" s="12"/>
    </row>
    <row r="53" spans="1:11" ht="15.5" customHeight="1" x14ac:dyDescent="0.35">
      <c r="A53" s="25"/>
      <c r="B53" s="25"/>
      <c r="C53" s="25"/>
      <c r="D53" s="61" t="s">
        <v>133</v>
      </c>
      <c r="E53" s="41" t="s">
        <v>133</v>
      </c>
      <c r="F53" s="41" t="s">
        <v>134</v>
      </c>
      <c r="G53" s="62" t="s">
        <v>127</v>
      </c>
      <c r="I53" s="25"/>
      <c r="J53" s="25"/>
      <c r="K53" s="12"/>
    </row>
    <row r="54" spans="1:11" ht="15.5" customHeight="1" x14ac:dyDescent="0.35">
      <c r="A54" s="25"/>
      <c r="C54" s="25" t="s">
        <v>135</v>
      </c>
      <c r="D54" s="63"/>
      <c r="E54" s="44"/>
      <c r="F54" s="44" t="s">
        <v>92</v>
      </c>
      <c r="G54" s="64"/>
      <c r="H54" s="58"/>
      <c r="I54" s="25"/>
      <c r="J54" s="25"/>
      <c r="K54" s="12"/>
    </row>
    <row r="55" spans="1:11" ht="15.5" customHeight="1" x14ac:dyDescent="0.35">
      <c r="A55" s="25"/>
      <c r="C55" s="25"/>
      <c r="D55" s="21"/>
      <c r="E55" s="21"/>
      <c r="F55" s="21"/>
      <c r="G55" s="21"/>
      <c r="I55" s="25"/>
      <c r="J55" s="25"/>
      <c r="K55" s="12"/>
    </row>
    <row r="56" spans="1:11" ht="15.5" customHeight="1" x14ac:dyDescent="0.35">
      <c r="A56" s="26" t="s">
        <v>136</v>
      </c>
      <c r="B56" s="27"/>
      <c r="C56" s="27"/>
      <c r="D56" s="27"/>
      <c r="E56" s="27"/>
      <c r="F56" s="27"/>
      <c r="G56" s="27"/>
      <c r="H56" s="25"/>
      <c r="I56" s="25"/>
      <c r="J56" s="25"/>
      <c r="K56" s="12"/>
    </row>
    <row r="57" spans="1:11" ht="15.5" customHeight="1" x14ac:dyDescent="0.35">
      <c r="A57" s="27" t="s">
        <v>137</v>
      </c>
      <c r="B57" s="27"/>
      <c r="C57" s="27"/>
      <c r="D57" s="27"/>
      <c r="E57" s="27"/>
      <c r="F57" s="27"/>
      <c r="G57" s="27"/>
      <c r="H57" s="25"/>
      <c r="I57" s="25"/>
      <c r="J57" s="25"/>
      <c r="K57" s="12"/>
    </row>
    <row r="58" spans="1:11" ht="15.5" customHeight="1" x14ac:dyDescent="0.35">
      <c r="A58" s="27" t="s">
        <v>138</v>
      </c>
      <c r="B58" s="27"/>
      <c r="C58" s="27"/>
      <c r="D58" s="65" t="s">
        <v>139</v>
      </c>
      <c r="E58" s="66"/>
      <c r="F58" s="66"/>
      <c r="G58" s="127">
        <v>0.1215</v>
      </c>
      <c r="H58" s="25"/>
      <c r="I58" s="25"/>
      <c r="J58" s="25"/>
      <c r="K58" s="12"/>
    </row>
    <row r="59" spans="1:11" ht="15.5" customHeight="1" x14ac:dyDescent="0.35">
      <c r="A59" s="33"/>
      <c r="B59" s="25"/>
      <c r="C59" s="25"/>
      <c r="D59" s="25"/>
      <c r="E59" s="25"/>
      <c r="F59" s="67"/>
      <c r="G59" s="36"/>
      <c r="H59" s="25"/>
      <c r="I59" s="25"/>
      <c r="J59" s="25"/>
      <c r="K59" s="12"/>
    </row>
    <row r="60" spans="1:11" ht="18.5" customHeight="1" x14ac:dyDescent="0.35">
      <c r="A60" s="33" t="s">
        <v>140</v>
      </c>
      <c r="B60" s="25"/>
      <c r="C60" s="25"/>
      <c r="D60" s="25"/>
      <c r="E60" s="25"/>
      <c r="F60" s="25"/>
      <c r="G60" s="25"/>
      <c r="H60" s="67"/>
      <c r="I60" s="25"/>
      <c r="J60" s="25"/>
      <c r="K60" s="12"/>
    </row>
    <row r="61" spans="1:11" ht="15.5" customHeight="1" x14ac:dyDescent="0.35">
      <c r="A61" s="25"/>
      <c r="B61" s="25"/>
      <c r="C61" s="25"/>
      <c r="D61" s="25"/>
      <c r="E61" s="25"/>
      <c r="F61" s="25"/>
      <c r="G61" s="25"/>
      <c r="H61" s="25"/>
      <c r="I61" s="25"/>
      <c r="J61" s="25"/>
      <c r="K61" s="12"/>
    </row>
    <row r="62" spans="1:11" ht="15.5" customHeight="1" x14ac:dyDescent="0.35">
      <c r="A62" s="25"/>
      <c r="B62" s="25"/>
      <c r="C62" s="25"/>
      <c r="D62" s="49"/>
      <c r="E62" s="49"/>
      <c r="F62" s="49"/>
      <c r="I62" s="25"/>
      <c r="J62" s="25"/>
      <c r="K62" s="12"/>
    </row>
    <row r="63" spans="1:11" ht="15.5" customHeight="1" x14ac:dyDescent="0.35">
      <c r="A63" s="25"/>
      <c r="B63" s="25"/>
      <c r="C63" s="25"/>
      <c r="D63" s="38" t="s">
        <v>141</v>
      </c>
      <c r="E63" s="48"/>
      <c r="G63" s="25"/>
      <c r="H63" s="25"/>
    </row>
    <row r="64" spans="1:11" ht="15.5" customHeight="1" x14ac:dyDescent="0.35">
      <c r="A64" s="25"/>
      <c r="B64" s="25"/>
      <c r="C64" s="25"/>
      <c r="D64" s="54" t="s">
        <v>142</v>
      </c>
      <c r="E64" s="68"/>
      <c r="G64" s="25"/>
      <c r="H64" s="25"/>
    </row>
    <row r="65" spans="1:11" ht="15.5" customHeight="1" x14ac:dyDescent="0.35">
      <c r="A65" s="25"/>
      <c r="C65" s="25" t="s">
        <v>99</v>
      </c>
      <c r="D65" s="44">
        <v>11.83</v>
      </c>
      <c r="E65" s="69"/>
      <c r="F65" s="143"/>
      <c r="G65" s="25"/>
      <c r="H65" s="25"/>
    </row>
    <row r="66" spans="1:11" ht="15.5" customHeight="1" x14ac:dyDescent="0.35">
      <c r="A66" s="25"/>
      <c r="C66" s="25" t="s">
        <v>101</v>
      </c>
      <c r="D66" s="44">
        <v>11.95</v>
      </c>
      <c r="E66" s="69"/>
      <c r="F66" s="143"/>
      <c r="G66" s="25"/>
      <c r="H66" s="25"/>
    </row>
    <row r="67" spans="1:11" ht="15.5" customHeight="1" x14ac:dyDescent="0.35">
      <c r="A67" s="25"/>
      <c r="C67" s="25" t="s">
        <v>103</v>
      </c>
      <c r="D67" s="44">
        <v>11.53</v>
      </c>
      <c r="E67" s="69"/>
      <c r="F67" s="143"/>
      <c r="G67" s="25"/>
      <c r="H67" s="25"/>
    </row>
    <row r="68" spans="1:11" ht="15.5" customHeight="1" x14ac:dyDescent="0.35">
      <c r="A68" s="25"/>
      <c r="C68" s="25" t="s">
        <v>105</v>
      </c>
      <c r="D68" s="44">
        <v>11.1</v>
      </c>
      <c r="E68" s="69"/>
      <c r="F68" s="143"/>
      <c r="G68" s="25"/>
      <c r="H68" s="25"/>
    </row>
    <row r="69" spans="1:11" ht="15.5" customHeight="1" x14ac:dyDescent="0.35">
      <c r="A69" s="33"/>
      <c r="B69" s="25"/>
      <c r="C69" s="25"/>
      <c r="D69" s="25"/>
      <c r="E69" s="25"/>
      <c r="F69" s="25"/>
      <c r="G69" s="25"/>
      <c r="H69" s="25"/>
      <c r="I69" s="25"/>
      <c r="J69" s="25"/>
      <c r="K69" s="12"/>
    </row>
    <row r="70" spans="1:11" ht="15.5" customHeight="1" x14ac:dyDescent="0.35">
      <c r="A70" s="33" t="s">
        <v>143</v>
      </c>
      <c r="B70" s="25"/>
      <c r="C70" s="25"/>
      <c r="D70" s="25"/>
      <c r="E70" s="25"/>
      <c r="F70" s="25"/>
      <c r="G70" s="25"/>
      <c r="H70" s="25"/>
      <c r="I70" s="25"/>
      <c r="J70" s="25"/>
      <c r="K70" s="12"/>
    </row>
    <row r="71" spans="1:11" ht="15.5" customHeight="1" x14ac:dyDescent="0.35">
      <c r="A71" s="25"/>
      <c r="B71" s="25"/>
      <c r="C71" s="25"/>
      <c r="D71" s="25"/>
      <c r="E71" s="25"/>
      <c r="F71" s="25"/>
      <c r="G71" s="25"/>
      <c r="H71" s="25"/>
      <c r="I71" s="25"/>
      <c r="J71" s="25"/>
      <c r="K71" s="12"/>
    </row>
    <row r="72" spans="1:11" ht="15.5" customHeight="1" x14ac:dyDescent="0.35">
      <c r="A72" s="25"/>
      <c r="B72" s="25"/>
      <c r="C72" s="25"/>
      <c r="D72" s="70" t="s">
        <v>144</v>
      </c>
      <c r="E72" s="25"/>
      <c r="F72" s="25"/>
    </row>
    <row r="73" spans="1:11" ht="15.5" customHeight="1" x14ac:dyDescent="0.35">
      <c r="A73" s="25"/>
      <c r="B73" s="25"/>
      <c r="C73" s="25"/>
      <c r="D73" s="71" t="s">
        <v>145</v>
      </c>
      <c r="E73" s="25"/>
      <c r="F73" s="25"/>
    </row>
    <row r="74" spans="1:11" ht="15.5" customHeight="1" x14ac:dyDescent="0.35">
      <c r="A74" s="25"/>
      <c r="C74" s="25" t="s">
        <v>99</v>
      </c>
      <c r="D74" s="56">
        <v>3343</v>
      </c>
      <c r="E74" s="69"/>
      <c r="F74" s="147"/>
    </row>
    <row r="75" spans="1:11" ht="15.5" customHeight="1" x14ac:dyDescent="0.35">
      <c r="A75" s="25"/>
      <c r="C75" s="25" t="s">
        <v>101</v>
      </c>
      <c r="D75" s="44">
        <v>3416</v>
      </c>
      <c r="E75" s="69"/>
      <c r="F75" s="147"/>
    </row>
    <row r="76" spans="1:11" ht="15.5" customHeight="1" x14ac:dyDescent="0.35">
      <c r="A76" s="25"/>
      <c r="C76" s="25" t="s">
        <v>103</v>
      </c>
      <c r="D76" s="44">
        <v>3490</v>
      </c>
      <c r="E76" s="69"/>
      <c r="F76" s="147"/>
    </row>
    <row r="77" spans="1:11" ht="15.5" customHeight="1" x14ac:dyDescent="0.35">
      <c r="A77" s="25"/>
      <c r="C77" s="25" t="s">
        <v>105</v>
      </c>
      <c r="D77" s="44">
        <v>3565</v>
      </c>
      <c r="E77" s="69"/>
      <c r="F77" s="146"/>
    </row>
    <row r="78" spans="1:11" ht="15.5" customHeight="1" x14ac:dyDescent="0.35">
      <c r="A78" s="25"/>
      <c r="B78" s="25"/>
      <c r="C78" s="25"/>
      <c r="D78" s="25"/>
      <c r="E78" s="25"/>
      <c r="F78" s="25"/>
      <c r="G78" s="25"/>
      <c r="I78" s="25"/>
      <c r="J78" s="25"/>
      <c r="K78" s="12"/>
    </row>
    <row r="79" spans="1:11" ht="15.5" customHeight="1" x14ac:dyDescent="0.35">
      <c r="A79" s="26" t="s">
        <v>146</v>
      </c>
      <c r="B79" s="27"/>
      <c r="C79" s="27"/>
      <c r="D79" s="27"/>
      <c r="E79" s="27"/>
      <c r="F79" s="27"/>
      <c r="G79" s="27"/>
      <c r="I79" s="25"/>
      <c r="J79" s="25"/>
      <c r="K79" s="12"/>
    </row>
    <row r="80" spans="1:11" ht="15.5" customHeight="1" x14ac:dyDescent="0.35">
      <c r="A80" s="27" t="s">
        <v>147</v>
      </c>
      <c r="B80" s="27"/>
      <c r="C80" s="27"/>
      <c r="D80" s="27"/>
      <c r="E80" s="27"/>
      <c r="F80" s="27"/>
      <c r="G80" s="27"/>
      <c r="I80" s="25"/>
      <c r="J80" s="25"/>
      <c r="K80" s="12"/>
    </row>
    <row r="81" spans="1:11" ht="15.5" customHeight="1" x14ac:dyDescent="0.35">
      <c r="A81" s="27" t="s">
        <v>148</v>
      </c>
      <c r="B81" s="27"/>
      <c r="C81" s="27"/>
      <c r="D81" s="27"/>
      <c r="E81" s="27"/>
      <c r="F81" s="27"/>
      <c r="G81" s="27"/>
      <c r="I81" s="25"/>
      <c r="J81" s="25"/>
      <c r="K81" s="12"/>
    </row>
    <row r="82" spans="1:11" ht="15.5" customHeight="1" x14ac:dyDescent="0.35">
      <c r="A82" s="33"/>
      <c r="B82" s="25"/>
      <c r="C82" s="25"/>
      <c r="D82" s="25"/>
      <c r="E82" s="25"/>
      <c r="F82" s="25"/>
      <c r="G82" s="25"/>
      <c r="I82" s="25"/>
      <c r="J82" s="25"/>
      <c r="K82" s="12"/>
    </row>
    <row r="83" spans="1:11" ht="15.5" customHeight="1" x14ac:dyDescent="0.35">
      <c r="A83" s="33" t="s">
        <v>149</v>
      </c>
      <c r="B83" s="25"/>
      <c r="C83" s="25"/>
      <c r="D83" s="25"/>
      <c r="E83" s="25"/>
      <c r="F83" s="25"/>
      <c r="G83" s="25"/>
      <c r="I83" s="25"/>
      <c r="J83" s="25"/>
      <c r="K83" s="12"/>
    </row>
    <row r="84" spans="1:11" ht="15.5" customHeight="1" x14ac:dyDescent="0.35">
      <c r="A84" s="33"/>
      <c r="B84" s="25"/>
      <c r="C84" s="25"/>
      <c r="D84" s="25"/>
      <c r="E84" s="25"/>
      <c r="F84" s="25"/>
      <c r="G84" s="25"/>
      <c r="H84" s="25"/>
      <c r="I84" s="25"/>
      <c r="J84" s="25"/>
      <c r="K84" s="12"/>
    </row>
    <row r="85" spans="1:11" ht="15.5" customHeight="1" x14ac:dyDescent="0.35">
      <c r="A85" s="25"/>
      <c r="B85" s="25"/>
      <c r="C85" s="25"/>
      <c r="D85" s="38" t="s">
        <v>150</v>
      </c>
      <c r="G85" s="25"/>
      <c r="H85" s="25"/>
    </row>
    <row r="86" spans="1:11" ht="15.5" customHeight="1" x14ac:dyDescent="0.35">
      <c r="A86" s="25"/>
      <c r="B86" s="25"/>
      <c r="C86" s="25"/>
      <c r="D86" s="54" t="s">
        <v>151</v>
      </c>
      <c r="G86" s="25"/>
      <c r="H86" s="25"/>
    </row>
    <row r="87" spans="1:11" ht="15.5" customHeight="1" x14ac:dyDescent="0.35">
      <c r="A87" s="25"/>
      <c r="C87" s="25" t="s">
        <v>116</v>
      </c>
      <c r="D87" s="44">
        <v>2.5</v>
      </c>
      <c r="E87" s="58"/>
      <c r="G87" s="25"/>
      <c r="H87" s="25"/>
    </row>
    <row r="88" spans="1:11" ht="15.5" customHeight="1" x14ac:dyDescent="0.35">
      <c r="A88" s="25"/>
      <c r="C88" s="25" t="s">
        <v>117</v>
      </c>
      <c r="D88" s="56">
        <v>2.4</v>
      </c>
      <c r="E88" s="58"/>
      <c r="G88" s="25"/>
      <c r="H88" s="25"/>
    </row>
    <row r="89" spans="1:11" ht="15.5" customHeight="1" x14ac:dyDescent="0.35">
      <c r="A89" s="33"/>
      <c r="B89" s="25"/>
      <c r="C89" s="25"/>
      <c r="D89" s="25"/>
      <c r="E89" s="25"/>
      <c r="F89" s="25"/>
      <c r="G89" s="25"/>
      <c r="H89" s="25"/>
      <c r="I89" s="25"/>
      <c r="J89" s="25"/>
      <c r="K89" s="12"/>
    </row>
    <row r="90" spans="1:11" ht="15.5" customHeight="1" x14ac:dyDescent="0.35">
      <c r="A90" s="33" t="s">
        <v>152</v>
      </c>
      <c r="B90" s="25"/>
      <c r="C90" s="25"/>
      <c r="D90" s="25"/>
      <c r="E90" s="25"/>
      <c r="F90" s="25"/>
      <c r="G90" s="25"/>
      <c r="H90" s="25"/>
      <c r="I90" s="25"/>
      <c r="J90" s="25"/>
      <c r="K90" s="12"/>
    </row>
    <row r="91" spans="1:11" ht="15.5" customHeight="1" x14ac:dyDescent="0.35">
      <c r="A91" s="25"/>
      <c r="B91" s="25"/>
      <c r="C91" s="25"/>
      <c r="D91" s="25"/>
      <c r="E91" s="25"/>
      <c r="F91" s="25"/>
      <c r="G91" s="25"/>
      <c r="H91" s="25"/>
      <c r="I91" s="25"/>
      <c r="J91" s="25"/>
      <c r="K91" s="12"/>
    </row>
    <row r="92" spans="1:11" ht="15.5" customHeight="1" x14ac:dyDescent="0.35">
      <c r="A92" s="25"/>
      <c r="B92" s="25"/>
      <c r="C92" s="25"/>
      <c r="D92" s="48" t="s">
        <v>153</v>
      </c>
      <c r="E92" s="49"/>
      <c r="F92" s="49"/>
      <c r="G92" s="49"/>
      <c r="I92" s="25"/>
      <c r="J92" s="25"/>
      <c r="K92" s="12"/>
    </row>
    <row r="93" spans="1:11" ht="15.5" customHeight="1" x14ac:dyDescent="0.35">
      <c r="A93" s="25"/>
      <c r="B93" s="25"/>
      <c r="C93" s="25"/>
      <c r="D93" s="72" t="s">
        <v>154</v>
      </c>
      <c r="E93" s="72" t="s">
        <v>155</v>
      </c>
      <c r="F93" s="72" t="s">
        <v>156</v>
      </c>
      <c r="G93" s="72" t="s">
        <v>115</v>
      </c>
      <c r="I93" s="25"/>
      <c r="J93" s="25"/>
      <c r="K93" s="12"/>
    </row>
    <row r="94" spans="1:11" ht="15.5" customHeight="1" x14ac:dyDescent="0.35">
      <c r="A94" s="25"/>
      <c r="B94" s="25" t="s">
        <v>157</v>
      </c>
      <c r="C94" s="25"/>
      <c r="D94" s="44"/>
      <c r="E94" s="44"/>
      <c r="F94" s="44" t="s">
        <v>92</v>
      </c>
      <c r="G94" s="44"/>
      <c r="H94" s="58"/>
      <c r="I94" s="25"/>
      <c r="J94" s="25"/>
      <c r="K94" s="12"/>
    </row>
    <row r="95" spans="1:11" ht="15.5" customHeight="1" x14ac:dyDescent="0.35">
      <c r="A95" s="25"/>
      <c r="B95" s="25" t="s">
        <v>158</v>
      </c>
      <c r="C95" s="25"/>
      <c r="D95" s="44"/>
      <c r="E95" s="44"/>
      <c r="F95" s="44" t="s">
        <v>92</v>
      </c>
      <c r="G95" s="44"/>
      <c r="H95" s="58"/>
      <c r="I95" s="25"/>
      <c r="J95" s="25"/>
      <c r="K95" s="12"/>
    </row>
    <row r="96" spans="1:11" ht="15.5" customHeight="1" x14ac:dyDescent="0.35">
      <c r="A96" s="25"/>
      <c r="B96" s="25"/>
      <c r="C96" s="25"/>
      <c r="D96" s="25"/>
      <c r="E96" s="25"/>
      <c r="F96" s="25"/>
      <c r="G96" s="25"/>
      <c r="H96" s="25"/>
      <c r="I96" s="25"/>
      <c r="J96" s="25"/>
      <c r="K96" s="12"/>
    </row>
    <row r="97" spans="1:11" ht="15.5" customHeight="1" x14ac:dyDescent="0.35">
      <c r="A97" s="26" t="s">
        <v>159</v>
      </c>
      <c r="B97" s="27"/>
      <c r="C97" s="27"/>
      <c r="D97" s="25"/>
      <c r="E97" s="25"/>
      <c r="F97" s="25"/>
      <c r="H97" s="25"/>
      <c r="I97" s="25"/>
      <c r="J97" s="25"/>
      <c r="K97" s="12"/>
    </row>
    <row r="98" spans="1:11" ht="15.5" customHeight="1" x14ac:dyDescent="0.35">
      <c r="A98" s="25"/>
      <c r="B98" s="25"/>
      <c r="C98" s="25"/>
      <c r="D98" s="25"/>
      <c r="E98" s="25"/>
      <c r="F98" s="25"/>
      <c r="H98" s="25"/>
      <c r="I98" s="25"/>
      <c r="J98" s="25"/>
      <c r="K98" s="12"/>
    </row>
    <row r="99" spans="1:11" ht="15.5" customHeight="1" x14ac:dyDescent="0.35">
      <c r="A99" s="25" t="s">
        <v>160</v>
      </c>
      <c r="B99" s="25"/>
      <c r="C99" s="25"/>
      <c r="D99" s="25"/>
      <c r="E99" s="25"/>
      <c r="F99" s="25"/>
      <c r="G99" s="25"/>
      <c r="H99" s="25"/>
      <c r="I99" s="25"/>
      <c r="J99" s="25"/>
      <c r="K99" s="12"/>
    </row>
    <row r="100" spans="1:11" ht="15.5" customHeight="1" x14ac:dyDescent="0.35">
      <c r="A100" s="25" t="s">
        <v>161</v>
      </c>
      <c r="B100" s="25"/>
      <c r="C100" s="25"/>
      <c r="D100" s="25"/>
      <c r="E100" s="25"/>
      <c r="F100" s="25"/>
      <c r="G100" s="25"/>
      <c r="H100" s="25"/>
      <c r="I100" s="25"/>
      <c r="J100" s="25"/>
      <c r="K100" s="12"/>
    </row>
    <row r="101" spans="1:11" ht="15.5" customHeight="1" x14ac:dyDescent="0.35">
      <c r="A101" s="33"/>
      <c r="B101" s="73"/>
      <c r="C101" s="74" t="s">
        <v>162</v>
      </c>
      <c r="D101" s="25"/>
      <c r="E101" s="25"/>
      <c r="F101" s="25"/>
      <c r="G101" s="25"/>
      <c r="H101" s="25"/>
      <c r="I101" s="25"/>
      <c r="J101" s="25"/>
      <c r="K101" s="12"/>
    </row>
    <row r="102" spans="1:11" ht="15.5" customHeight="1" x14ac:dyDescent="0.35">
      <c r="A102" s="25"/>
      <c r="B102" s="75"/>
      <c r="C102" s="76" t="s">
        <v>65</v>
      </c>
      <c r="D102" s="25"/>
      <c r="E102" s="25"/>
      <c r="F102" s="25"/>
      <c r="G102" s="25"/>
      <c r="H102" s="25"/>
      <c r="I102" s="25"/>
      <c r="J102" s="25"/>
      <c r="K102" s="12"/>
    </row>
    <row r="103" spans="1:11" ht="15.75" customHeight="1" x14ac:dyDescent="0.35">
      <c r="A103" s="25"/>
      <c r="B103" s="73"/>
      <c r="C103" s="77"/>
      <c r="D103" s="25"/>
      <c r="E103" s="25"/>
      <c r="F103" s="25"/>
      <c r="G103" s="25"/>
      <c r="H103" s="25"/>
      <c r="I103" s="25"/>
      <c r="J103" s="25"/>
      <c r="K103" s="12"/>
    </row>
    <row r="104" spans="1:11" ht="15.75" customHeight="1" x14ac:dyDescent="0.35">
      <c r="A104" s="25" t="s">
        <v>163</v>
      </c>
      <c r="B104" s="25"/>
      <c r="C104" s="25"/>
      <c r="D104" s="25"/>
      <c r="H104" s="25"/>
      <c r="I104" s="25"/>
      <c r="J104" s="25"/>
      <c r="K104" s="12"/>
    </row>
    <row r="105" spans="1:11" ht="15.75" customHeight="1" x14ac:dyDescent="0.35">
      <c r="A105" s="33"/>
      <c r="B105" s="25"/>
      <c r="C105" s="25"/>
      <c r="D105" s="78" t="s">
        <v>164</v>
      </c>
      <c r="E105" s="79"/>
      <c r="H105" s="25"/>
      <c r="I105" s="25"/>
      <c r="J105" s="25"/>
      <c r="K105" s="12"/>
    </row>
    <row r="106" spans="1:11" ht="15.75" customHeight="1" x14ac:dyDescent="0.35">
      <c r="A106" s="33"/>
      <c r="B106" s="25"/>
      <c r="C106" s="25"/>
      <c r="D106" s="59" t="s">
        <v>162</v>
      </c>
      <c r="E106" s="51"/>
      <c r="H106" s="25"/>
      <c r="I106" s="25"/>
      <c r="J106" s="25"/>
      <c r="K106" s="12"/>
    </row>
    <row r="107" spans="1:11" ht="15.75" customHeight="1" x14ac:dyDescent="0.35">
      <c r="A107" s="33"/>
      <c r="B107" s="25"/>
      <c r="C107" s="25"/>
      <c r="D107" s="80" t="s">
        <v>165</v>
      </c>
      <c r="E107" s="80" t="s">
        <v>166</v>
      </c>
      <c r="H107" s="25"/>
      <c r="I107" s="25"/>
      <c r="J107" s="25"/>
      <c r="K107" s="12"/>
    </row>
    <row r="108" spans="1:11" ht="15.75" customHeight="1" x14ac:dyDescent="0.35">
      <c r="A108" s="33"/>
      <c r="B108" s="25"/>
      <c r="C108" s="25"/>
      <c r="D108" s="44" t="s">
        <v>92</v>
      </c>
      <c r="E108" s="44"/>
      <c r="H108" s="25"/>
      <c r="I108" s="25"/>
      <c r="J108" s="25"/>
      <c r="K108" s="12"/>
    </row>
    <row r="109" spans="1:11" ht="15.75" customHeight="1" x14ac:dyDescent="0.35">
      <c r="A109" s="25"/>
      <c r="B109" s="25"/>
      <c r="C109" s="25"/>
      <c r="D109" s="25"/>
      <c r="E109" s="25"/>
      <c r="F109" s="25"/>
      <c r="G109" s="25"/>
      <c r="H109" s="25"/>
      <c r="I109" s="25"/>
      <c r="J109" s="25"/>
      <c r="K109" s="12"/>
    </row>
    <row r="110" spans="1:11" ht="15.75" customHeight="1" x14ac:dyDescent="0.35">
      <c r="A110" s="26" t="s">
        <v>167</v>
      </c>
      <c r="B110" s="27"/>
      <c r="C110" s="27"/>
      <c r="D110" s="27"/>
      <c r="E110" s="27"/>
      <c r="F110" s="27"/>
      <c r="G110" s="27"/>
      <c r="H110" s="25"/>
      <c r="I110" s="25"/>
      <c r="J110" s="25"/>
      <c r="K110" s="12"/>
    </row>
    <row r="111" spans="1:11" ht="15.75" customHeight="1" x14ac:dyDescent="0.35">
      <c r="A111" s="25"/>
      <c r="B111" s="25"/>
      <c r="C111" s="25"/>
      <c r="D111" s="25"/>
      <c r="E111" s="25"/>
      <c r="F111" s="25"/>
      <c r="G111" s="25"/>
      <c r="H111" s="25"/>
      <c r="I111" s="25"/>
      <c r="J111" s="25"/>
      <c r="K111" s="12"/>
    </row>
    <row r="112" spans="1:11" ht="15.75" customHeight="1" x14ac:dyDescent="0.35">
      <c r="A112" s="25" t="s">
        <v>168</v>
      </c>
      <c r="B112" s="25"/>
      <c r="C112" s="25"/>
      <c r="D112" s="48"/>
      <c r="E112" s="49"/>
      <c r="F112" s="49"/>
      <c r="G112" s="25"/>
      <c r="H112" s="25"/>
      <c r="I112" s="25"/>
      <c r="J112" s="25"/>
      <c r="K112" s="12"/>
    </row>
    <row r="113" spans="1:18" ht="15.75" customHeight="1" x14ac:dyDescent="0.35">
      <c r="A113" s="25"/>
      <c r="B113" s="25"/>
      <c r="C113" s="25"/>
      <c r="D113" s="48" t="s">
        <v>164</v>
      </c>
      <c r="E113" s="49"/>
      <c r="F113" s="49"/>
      <c r="G113" s="25"/>
      <c r="H113" s="25"/>
      <c r="I113" s="25"/>
      <c r="J113" s="25"/>
      <c r="K113" s="12"/>
    </row>
    <row r="114" spans="1:18" ht="36" customHeight="1" x14ac:dyDescent="0.35">
      <c r="A114" s="81"/>
      <c r="B114" s="81"/>
      <c r="C114" s="81"/>
      <c r="D114" s="82" t="s">
        <v>169</v>
      </c>
      <c r="E114" s="83" t="s">
        <v>170</v>
      </c>
      <c r="F114" s="83" t="s">
        <v>171</v>
      </c>
      <c r="G114" s="25"/>
      <c r="H114" s="81"/>
      <c r="I114" s="25"/>
      <c r="J114" s="25"/>
      <c r="K114" s="12"/>
    </row>
    <row r="115" spans="1:18" ht="15.75" customHeight="1" x14ac:dyDescent="0.35">
      <c r="A115" s="25"/>
      <c r="B115" s="25"/>
      <c r="C115" s="25"/>
      <c r="D115" s="44" t="s">
        <v>92</v>
      </c>
      <c r="E115" s="44"/>
      <c r="F115" s="44"/>
      <c r="G115" s="25"/>
      <c r="H115" s="25"/>
      <c r="I115" s="25"/>
      <c r="J115" s="25"/>
      <c r="K115" s="12"/>
    </row>
    <row r="116" spans="1:18" ht="15.75" customHeight="1" x14ac:dyDescent="0.35">
      <c r="A116" s="25"/>
      <c r="B116" s="25"/>
      <c r="C116" s="25"/>
      <c r="D116" s="25"/>
      <c r="E116" s="25"/>
      <c r="F116" s="25"/>
      <c r="G116" s="25"/>
      <c r="H116" s="25"/>
      <c r="I116" s="25"/>
      <c r="J116" s="25"/>
      <c r="K116" s="12"/>
      <c r="N116" s="84"/>
      <c r="O116" s="84"/>
      <c r="P116" s="84"/>
      <c r="Q116" s="84"/>
      <c r="R116" s="84"/>
    </row>
    <row r="117" spans="1:18" ht="15.5" customHeight="1" x14ac:dyDescent="0.35">
      <c r="A117" s="25" t="s">
        <v>172</v>
      </c>
      <c r="B117" s="25"/>
      <c r="C117" s="25"/>
      <c r="D117" s="25"/>
      <c r="E117" s="25"/>
      <c r="F117" s="25"/>
      <c r="G117" s="25"/>
      <c r="H117" s="25"/>
      <c r="I117" s="25"/>
      <c r="J117" s="25"/>
      <c r="K117" s="12"/>
    </row>
    <row r="118" spans="1:18" ht="15.75" customHeight="1" x14ac:dyDescent="0.35">
      <c r="A118" s="25" t="s">
        <v>161</v>
      </c>
      <c r="B118" s="25"/>
      <c r="C118" s="25"/>
      <c r="D118" s="25"/>
      <c r="E118" s="25"/>
      <c r="F118" s="25"/>
      <c r="G118" s="25"/>
      <c r="H118" s="25"/>
      <c r="I118" s="25"/>
      <c r="J118" s="25"/>
      <c r="K118" s="12"/>
    </row>
    <row r="119" spans="1:18" ht="15.75" customHeight="1" x14ac:dyDescent="0.35">
      <c r="A119" s="25"/>
      <c r="B119" s="77"/>
      <c r="C119" s="74" t="s">
        <v>162</v>
      </c>
      <c r="D119" s="25"/>
      <c r="E119" s="25"/>
      <c r="F119" s="25"/>
      <c r="G119" s="25"/>
      <c r="H119" s="25"/>
      <c r="I119" s="25"/>
      <c r="J119" s="25"/>
      <c r="K119" s="12"/>
    </row>
    <row r="120" spans="1:18" ht="15.5" customHeight="1" x14ac:dyDescent="0.35">
      <c r="A120" s="25"/>
      <c r="B120" s="75"/>
      <c r="C120" s="76" t="s">
        <v>89</v>
      </c>
      <c r="D120" s="25"/>
      <c r="E120" s="25"/>
      <c r="F120" s="25"/>
      <c r="G120" s="25"/>
      <c r="H120" s="25"/>
      <c r="I120" s="25"/>
      <c r="J120" s="25"/>
      <c r="K120" s="12"/>
    </row>
    <row r="121" spans="1:18" ht="15.5" customHeight="1" x14ac:dyDescent="0.35">
      <c r="A121" s="33"/>
      <c r="B121" s="77"/>
      <c r="C121" s="77"/>
      <c r="D121" s="25"/>
      <c r="E121" s="25"/>
      <c r="F121" s="25"/>
      <c r="G121" s="25"/>
      <c r="H121" s="25"/>
      <c r="I121" s="25"/>
      <c r="J121" s="25"/>
    </row>
    <row r="122" spans="1:18" ht="15.5" customHeight="1" x14ac:dyDescent="0.35">
      <c r="A122" s="25" t="s">
        <v>173</v>
      </c>
      <c r="B122" s="25"/>
      <c r="C122" s="25"/>
      <c r="D122" s="25"/>
      <c r="E122" s="25"/>
      <c r="F122" s="25"/>
      <c r="G122" s="25"/>
      <c r="H122" s="25"/>
      <c r="I122" s="25"/>
      <c r="J122" s="25"/>
      <c r="K122" s="12"/>
    </row>
    <row r="123" spans="1:18" ht="15.5" customHeight="1" x14ac:dyDescent="0.35">
      <c r="A123" s="25" t="s">
        <v>161</v>
      </c>
      <c r="B123" s="25"/>
      <c r="C123" s="25"/>
      <c r="D123" s="25"/>
      <c r="E123" s="25"/>
      <c r="F123" s="25"/>
      <c r="G123" s="25"/>
      <c r="H123" s="25"/>
      <c r="I123" s="25"/>
      <c r="J123" s="25"/>
      <c r="K123" s="12"/>
    </row>
    <row r="124" spans="1:18" ht="15.5" customHeight="1" x14ac:dyDescent="0.35">
      <c r="A124" s="33"/>
      <c r="B124" s="25"/>
      <c r="C124" s="74" t="s">
        <v>162</v>
      </c>
      <c r="D124" s="25"/>
      <c r="E124" s="25"/>
      <c r="F124" s="25"/>
      <c r="G124" s="25"/>
      <c r="H124" s="25"/>
      <c r="I124" s="25"/>
      <c r="J124" s="25"/>
      <c r="K124" s="12"/>
    </row>
    <row r="125" spans="1:18" ht="15.5" customHeight="1" x14ac:dyDescent="0.35">
      <c r="A125" s="25"/>
      <c r="B125" s="75"/>
      <c r="C125" s="76"/>
      <c r="D125" s="25"/>
      <c r="E125" s="25"/>
      <c r="F125" s="25"/>
      <c r="G125" s="25"/>
      <c r="H125" s="25"/>
      <c r="I125" s="25"/>
      <c r="J125" s="25"/>
      <c r="K125" s="12"/>
    </row>
    <row r="126" spans="1:18" ht="15.5" customHeight="1" x14ac:dyDescent="0.35">
      <c r="A126" s="25"/>
      <c r="B126" s="25"/>
      <c r="C126" s="25"/>
      <c r="D126" s="25"/>
      <c r="E126" s="25"/>
      <c r="F126" s="25"/>
      <c r="G126" s="25"/>
      <c r="H126" s="25"/>
      <c r="I126" s="25"/>
      <c r="J126" s="25"/>
      <c r="K126" s="12"/>
    </row>
    <row r="127" spans="1:18" ht="15.5" customHeight="1" x14ac:dyDescent="0.35">
      <c r="A127" s="85" t="s">
        <v>174</v>
      </c>
      <c r="B127" s="86"/>
      <c r="C127" s="87"/>
      <c r="D127" s="25"/>
      <c r="E127" s="25"/>
      <c r="F127" s="25"/>
      <c r="G127" s="25"/>
      <c r="H127" s="25"/>
      <c r="I127" s="25"/>
      <c r="J127" s="25"/>
      <c r="K127" s="12"/>
    </row>
    <row r="128" spans="1:18" ht="15.5" customHeight="1" x14ac:dyDescent="0.35">
      <c r="A128" s="33"/>
      <c r="B128" s="25"/>
      <c r="C128" s="25"/>
      <c r="D128" s="25"/>
      <c r="E128" s="25"/>
      <c r="F128" s="25"/>
      <c r="G128" s="25"/>
      <c r="H128" s="25"/>
      <c r="I128" s="25"/>
      <c r="J128" s="25"/>
      <c r="K128" s="12"/>
    </row>
    <row r="129" spans="1:11" ht="15.5" customHeight="1" x14ac:dyDescent="0.35">
      <c r="A129" s="33" t="s">
        <v>175</v>
      </c>
      <c r="B129" s="25"/>
      <c r="C129" s="25"/>
      <c r="D129" s="25"/>
      <c r="E129" s="25"/>
      <c r="F129" s="25"/>
      <c r="G129" s="25"/>
      <c r="H129" s="25"/>
      <c r="I129" s="25"/>
      <c r="J129" s="25"/>
      <c r="K129" s="12"/>
    </row>
    <row r="130" spans="1:11" ht="15.5" customHeight="1" x14ac:dyDescent="0.35">
      <c r="A130" s="25"/>
      <c r="B130" s="25"/>
      <c r="C130" s="25"/>
      <c r="D130" s="25"/>
      <c r="E130" s="25"/>
      <c r="F130" s="25"/>
      <c r="G130" s="25"/>
      <c r="H130" s="25"/>
      <c r="I130" s="25"/>
      <c r="J130" s="25"/>
      <c r="K130" s="12"/>
    </row>
    <row r="131" spans="1:11" ht="15.5" customHeight="1" x14ac:dyDescent="0.35">
      <c r="A131" s="25"/>
      <c r="B131" s="25"/>
      <c r="C131" s="25"/>
      <c r="D131" s="59" t="s">
        <v>162</v>
      </c>
      <c r="E131" s="51"/>
      <c r="I131" s="25"/>
      <c r="J131" s="25"/>
      <c r="K131" s="12"/>
    </row>
    <row r="132" spans="1:11" ht="15.5" customHeight="1" x14ac:dyDescent="0.35">
      <c r="A132" s="25"/>
      <c r="B132" s="25"/>
      <c r="C132" s="25"/>
      <c r="D132" s="80" t="s">
        <v>165</v>
      </c>
      <c r="E132" s="80" t="s">
        <v>166</v>
      </c>
      <c r="I132" s="25"/>
      <c r="J132" s="25"/>
      <c r="K132" s="12"/>
    </row>
    <row r="133" spans="1:11" ht="15.5" customHeight="1" x14ac:dyDescent="0.35">
      <c r="A133" s="25" t="s">
        <v>176</v>
      </c>
      <c r="B133" s="25"/>
      <c r="C133" s="25"/>
      <c r="D133" s="44"/>
      <c r="E133" s="44" t="s">
        <v>92</v>
      </c>
      <c r="H133" s="58"/>
      <c r="I133" s="25"/>
      <c r="J133" s="25"/>
      <c r="K133" s="12"/>
    </row>
    <row r="134" spans="1:11" ht="15.5" customHeight="1" x14ac:dyDescent="0.35">
      <c r="A134" s="25" t="s">
        <v>177</v>
      </c>
      <c r="B134" s="25"/>
      <c r="C134" s="25"/>
      <c r="D134" s="44" t="s">
        <v>92</v>
      </c>
      <c r="E134" s="44"/>
      <c r="H134" s="58"/>
      <c r="I134" s="25"/>
      <c r="J134" s="25"/>
      <c r="K134" s="12"/>
    </row>
    <row r="135" spans="1:11" ht="15.5" customHeight="1" x14ac:dyDescent="0.35">
      <c r="A135" s="25" t="s">
        <v>178</v>
      </c>
      <c r="B135" s="25"/>
      <c r="C135" s="25"/>
      <c r="D135" s="44" t="s">
        <v>92</v>
      </c>
      <c r="E135" s="44"/>
      <c r="H135" s="58"/>
      <c r="I135" s="25"/>
      <c r="J135" s="25"/>
      <c r="K135" s="12"/>
    </row>
    <row r="136" spans="1:11" ht="15.5" customHeight="1" x14ac:dyDescent="0.35">
      <c r="A136" s="25"/>
      <c r="B136" s="25"/>
      <c r="C136" s="25"/>
      <c r="D136" s="25"/>
      <c r="E136" s="25"/>
      <c r="F136" s="25"/>
      <c r="G136" s="25"/>
      <c r="H136" s="58"/>
      <c r="I136" s="25"/>
      <c r="J136" s="25"/>
      <c r="K136" s="12"/>
    </row>
    <row r="137" spans="1:11" ht="15.5" customHeight="1" x14ac:dyDescent="0.35">
      <c r="A137" s="25" t="s">
        <v>179</v>
      </c>
      <c r="B137" s="25"/>
      <c r="C137" s="25"/>
      <c r="D137" s="88" t="s">
        <v>180</v>
      </c>
      <c r="E137" s="44"/>
      <c r="F137" s="88" t="s">
        <v>181</v>
      </c>
      <c r="G137" s="44"/>
      <c r="H137" s="58"/>
      <c r="I137" s="25"/>
      <c r="J137" s="25"/>
      <c r="K137" s="12"/>
    </row>
    <row r="138" spans="1:11" ht="15.5" customHeight="1" x14ac:dyDescent="0.35">
      <c r="A138" s="25"/>
      <c r="B138" s="25"/>
      <c r="C138" s="25"/>
      <c r="D138" s="88" t="s">
        <v>182</v>
      </c>
      <c r="E138" s="44" t="s">
        <v>92</v>
      </c>
      <c r="F138" s="88" t="s">
        <v>183</v>
      </c>
      <c r="G138" s="44"/>
      <c r="H138" s="2"/>
      <c r="I138" s="25"/>
      <c r="J138" s="25"/>
      <c r="K138" s="12"/>
    </row>
    <row r="139" spans="1:11" ht="15.5" customHeight="1" x14ac:dyDescent="0.35">
      <c r="A139" s="25"/>
      <c r="B139" s="25"/>
      <c r="C139" s="25"/>
      <c r="D139" s="25"/>
      <c r="E139" s="25"/>
      <c r="F139" s="25"/>
      <c r="G139" s="25"/>
      <c r="H139" s="25"/>
      <c r="I139" s="25"/>
      <c r="J139" s="25"/>
      <c r="K139" s="12"/>
    </row>
    <row r="140" spans="1:11" ht="15.5" customHeight="1" x14ac:dyDescent="0.35">
      <c r="A140" s="48" t="s">
        <v>184</v>
      </c>
      <c r="B140" s="49"/>
      <c r="C140" s="49"/>
      <c r="D140" s="49"/>
      <c r="E140" s="49"/>
      <c r="F140" s="49"/>
      <c r="G140" s="49"/>
      <c r="H140" s="49"/>
      <c r="I140" s="25"/>
      <c r="J140" s="25"/>
      <c r="K140" s="12"/>
    </row>
    <row r="141" spans="1:11" ht="15.5" customHeight="1" x14ac:dyDescent="0.35">
      <c r="A141" s="25"/>
      <c r="B141" s="25"/>
      <c r="C141" s="25"/>
      <c r="D141" s="25"/>
      <c r="E141" s="25"/>
      <c r="F141" s="25"/>
      <c r="G141" s="25"/>
      <c r="H141" s="25"/>
      <c r="I141" s="25"/>
      <c r="J141" s="25"/>
      <c r="K141" s="12"/>
    </row>
    <row r="142" spans="1:11" ht="15.5" customHeight="1" x14ac:dyDescent="0.35">
      <c r="A142" s="25" t="s">
        <v>185</v>
      </c>
      <c r="B142" s="89" t="s">
        <v>186</v>
      </c>
      <c r="C142" s="25"/>
      <c r="D142" s="25" t="s">
        <v>187</v>
      </c>
      <c r="E142" s="90" t="s">
        <v>188</v>
      </c>
      <c r="H142" s="25"/>
      <c r="I142" s="25"/>
      <c r="J142" s="25"/>
      <c r="K142" s="12"/>
    </row>
    <row r="143" spans="1:11" ht="15.5" customHeight="1" x14ac:dyDescent="0.35">
      <c r="A143" s="25" t="s">
        <v>189</v>
      </c>
      <c r="B143" s="89" t="s">
        <v>186</v>
      </c>
      <c r="C143" s="25"/>
      <c r="D143" s="25" t="s">
        <v>190</v>
      </c>
      <c r="E143" s="128" t="s">
        <v>266</v>
      </c>
      <c r="H143" s="25"/>
      <c r="I143" s="25"/>
      <c r="J143" s="25"/>
      <c r="K143" s="12"/>
    </row>
    <row r="144" spans="1:11" ht="15.5" customHeight="1" x14ac:dyDescent="0.35">
      <c r="A144" s="25" t="s">
        <v>191</v>
      </c>
      <c r="B144" s="89" t="s">
        <v>192</v>
      </c>
      <c r="C144" s="25"/>
      <c r="D144" s="25" t="s">
        <v>193</v>
      </c>
      <c r="E144" s="90" t="s">
        <v>194</v>
      </c>
      <c r="H144" s="25"/>
      <c r="I144" s="25"/>
      <c r="J144" s="25"/>
      <c r="K144" s="12"/>
    </row>
    <row r="145" spans="1:55" ht="15.5" customHeight="1" x14ac:dyDescent="0.35">
      <c r="A145" s="25" t="s">
        <v>195</v>
      </c>
      <c r="B145" s="89" t="s">
        <v>196</v>
      </c>
      <c r="C145" s="25"/>
      <c r="D145" s="25" t="s">
        <v>197</v>
      </c>
      <c r="E145" s="90"/>
      <c r="H145" s="91"/>
      <c r="I145" s="25"/>
      <c r="J145" s="25"/>
      <c r="K145" s="12"/>
    </row>
    <row r="146" spans="1:55" ht="15.5" customHeight="1" x14ac:dyDescent="0.35">
      <c r="A146" s="25" t="s">
        <v>198</v>
      </c>
      <c r="B146" s="89" t="s">
        <v>199</v>
      </c>
      <c r="C146" s="25"/>
      <c r="D146" s="25" t="s">
        <v>200</v>
      </c>
      <c r="E146" s="92">
        <v>46219</v>
      </c>
      <c r="H146" s="25"/>
      <c r="I146" s="25"/>
      <c r="J146" s="25"/>
      <c r="K146" s="12"/>
    </row>
    <row r="147" spans="1:55" ht="17.5" customHeight="1" x14ac:dyDescent="0.35">
      <c r="A147" s="93" t="s">
        <v>201</v>
      </c>
      <c r="B147" s="27"/>
      <c r="C147" s="27"/>
      <c r="D147" s="27"/>
      <c r="E147" s="27"/>
      <c r="F147" s="27"/>
      <c r="G147" s="27"/>
      <c r="H147" s="25"/>
      <c r="I147" s="25"/>
      <c r="J147" s="25"/>
      <c r="K147" s="12"/>
    </row>
    <row r="148" spans="1:55" s="95" customFormat="1" ht="16.5" customHeight="1" x14ac:dyDescent="0.35">
      <c r="A148" s="94" t="s">
        <v>202</v>
      </c>
      <c r="B148" s="25"/>
      <c r="C148" s="25"/>
      <c r="D148" s="25"/>
      <c r="E148" s="25"/>
      <c r="F148" s="25"/>
      <c r="G148" s="25"/>
      <c r="H148" s="25"/>
      <c r="I148" s="25"/>
      <c r="J148" s="25"/>
      <c r="K148" s="12"/>
      <c r="L148" s="84"/>
      <c r="M148" s="84"/>
      <c r="N148" s="15"/>
      <c r="O148" s="15"/>
      <c r="P148" s="15"/>
      <c r="Q148" s="15"/>
      <c r="R148" s="15"/>
      <c r="S148" s="84"/>
      <c r="T148" s="84"/>
      <c r="U148" s="84"/>
      <c r="V148" s="84"/>
      <c r="W148" s="84"/>
      <c r="X148" s="84"/>
      <c r="Y148" s="84"/>
      <c r="Z148" s="84"/>
      <c r="AA148" s="84"/>
      <c r="AB148" s="84"/>
      <c r="AC148" s="84"/>
      <c r="AD148" s="84"/>
      <c r="AE148" s="84"/>
      <c r="AF148" s="84"/>
      <c r="AG148" s="84"/>
      <c r="AH148" s="84"/>
      <c r="AI148" s="84"/>
      <c r="AJ148" s="84"/>
      <c r="AK148" s="84"/>
      <c r="AL148" s="84"/>
      <c r="AM148" s="84"/>
      <c r="AN148" s="84"/>
      <c r="AO148" s="84"/>
      <c r="AP148" s="84"/>
      <c r="AQ148" s="84"/>
      <c r="AR148" s="84"/>
      <c r="AS148" s="84"/>
      <c r="AT148" s="84"/>
      <c r="AU148" s="84"/>
      <c r="AV148" s="84"/>
      <c r="AW148" s="84"/>
      <c r="AX148" s="84"/>
      <c r="AY148" s="84"/>
      <c r="AZ148" s="84"/>
      <c r="BA148" s="84"/>
      <c r="BB148" s="84"/>
      <c r="BC148" s="84"/>
    </row>
    <row r="149" spans="1:55" ht="15.5" customHeight="1" x14ac:dyDescent="0.35">
      <c r="A149" s="96" t="s">
        <v>203</v>
      </c>
      <c r="B149" s="25"/>
      <c r="C149" s="25"/>
      <c r="D149" s="25"/>
      <c r="E149" s="25"/>
      <c r="F149" s="25"/>
      <c r="G149" s="25"/>
      <c r="H149" s="25"/>
      <c r="I149" s="25"/>
      <c r="J149" s="25"/>
      <c r="K149" s="12"/>
    </row>
    <row r="150" spans="1:55" ht="15.5" customHeight="1" x14ac:dyDescent="0.35">
      <c r="A150" s="25"/>
      <c r="B150" s="25"/>
      <c r="C150" s="25"/>
      <c r="D150" s="25"/>
      <c r="E150" s="25"/>
      <c r="F150" s="25"/>
      <c r="G150" s="25"/>
      <c r="H150" s="25"/>
      <c r="I150" s="25"/>
      <c r="J150" s="25"/>
      <c r="K150" s="12"/>
    </row>
    <row r="151" spans="1:55" ht="15.5" customHeight="1" x14ac:dyDescent="0.35">
      <c r="A151" s="25"/>
      <c r="B151" s="25"/>
      <c r="C151" s="25"/>
      <c r="D151" s="25"/>
      <c r="E151" s="25"/>
      <c r="F151" s="25"/>
      <c r="G151" s="25"/>
      <c r="H151" s="25"/>
      <c r="I151" s="25"/>
      <c r="J151" s="25"/>
      <c r="K151" s="12"/>
    </row>
    <row r="152" spans="1:55" ht="15.5" customHeight="1" x14ac:dyDescent="0.35">
      <c r="A152" s="25"/>
      <c r="B152" s="25"/>
      <c r="C152" s="25"/>
      <c r="D152" s="25"/>
      <c r="E152" s="25"/>
      <c r="F152" s="25"/>
      <c r="G152" s="25"/>
      <c r="H152" s="25"/>
      <c r="I152" s="25"/>
      <c r="J152" s="25"/>
      <c r="K152" s="12"/>
    </row>
    <row r="153" spans="1:55" ht="15.5" customHeight="1" x14ac:dyDescent="0.35">
      <c r="A153" s="25"/>
      <c r="B153" s="25"/>
      <c r="C153" s="25"/>
      <c r="D153" s="25"/>
      <c r="E153" s="25"/>
      <c r="F153" s="25"/>
      <c r="G153" s="25"/>
      <c r="H153" s="25"/>
      <c r="I153" s="25"/>
      <c r="J153" s="25"/>
      <c r="K153" s="12"/>
    </row>
    <row r="154" spans="1:55" ht="15.5" customHeight="1" x14ac:dyDescent="0.35">
      <c r="A154" s="25"/>
      <c r="B154" s="25"/>
      <c r="C154" s="25"/>
      <c r="D154" s="25"/>
      <c r="E154" s="25"/>
      <c r="F154" s="25"/>
      <c r="G154" s="25"/>
      <c r="H154" s="25"/>
      <c r="I154" s="25"/>
      <c r="J154" s="25"/>
      <c r="K154" s="12"/>
    </row>
    <row r="159" spans="1:55" x14ac:dyDescent="0.25">
      <c r="F159" s="18" t="s">
        <v>204</v>
      </c>
    </row>
    <row r="160" spans="1:55" x14ac:dyDescent="0.25">
      <c r="B160" s="18" t="s">
        <v>205</v>
      </c>
    </row>
  </sheetData>
  <conditionalFormatting sqref="D19">
    <cfRule type="cellIs" dxfId="36" priority="11" stopIfTrue="1" operator="equal">
      <formula>99999</formula>
    </cfRule>
  </conditionalFormatting>
  <conditionalFormatting sqref="D37">
    <cfRule type="expression" dxfId="34" priority="32" stopIfTrue="1">
      <formula>ISTEXT(D37)</formula>
    </cfRule>
  </conditionalFormatting>
  <conditionalFormatting sqref="D46">
    <cfRule type="duplicateValues" dxfId="33" priority="9" stopIfTrue="1"/>
  </conditionalFormatting>
  <conditionalFormatting sqref="D87:D88">
    <cfRule type="expression" dxfId="30" priority="27" stopIfTrue="1">
      <formula>ISTEXT(D87)</formula>
    </cfRule>
  </conditionalFormatting>
  <conditionalFormatting sqref="D119 D121">
    <cfRule type="duplicateValues" dxfId="29" priority="35" stopIfTrue="1"/>
  </conditionalFormatting>
  <conditionalFormatting sqref="D123:D124 D126">
    <cfRule type="duplicateValues" dxfId="28" priority="36" stopIfTrue="1"/>
  </conditionalFormatting>
  <conditionalFormatting sqref="D108:E108">
    <cfRule type="duplicateValues" dxfId="27" priority="34" stopIfTrue="1"/>
  </conditionalFormatting>
  <conditionalFormatting sqref="D118:E119 D121:G121">
    <cfRule type="duplicateValues" dxfId="26" priority="37" stopIfTrue="1"/>
  </conditionalFormatting>
  <conditionalFormatting sqref="D133:E133">
    <cfRule type="duplicateValues" dxfId="25" priority="24" stopIfTrue="1"/>
  </conditionalFormatting>
  <conditionalFormatting sqref="D134:E134">
    <cfRule type="duplicateValues" dxfId="24" priority="23" stopIfTrue="1"/>
  </conditionalFormatting>
  <conditionalFormatting sqref="D135:E135">
    <cfRule type="duplicateValues" dxfId="23" priority="22" stopIfTrue="1"/>
  </conditionalFormatting>
  <conditionalFormatting sqref="D54:G54">
    <cfRule type="duplicateValues" dxfId="22" priority="30" stopIfTrue="1"/>
  </conditionalFormatting>
  <conditionalFormatting sqref="D94:G94">
    <cfRule type="duplicateValues" dxfId="21" priority="26" stopIfTrue="1"/>
  </conditionalFormatting>
  <conditionalFormatting sqref="D95:G95">
    <cfRule type="duplicateValues" dxfId="20" priority="25" stopIfTrue="1"/>
  </conditionalFormatting>
  <conditionalFormatting sqref="D115:G115">
    <cfRule type="duplicateValues" dxfId="19" priority="19" stopIfTrue="1"/>
  </conditionalFormatting>
  <conditionalFormatting sqref="E35">
    <cfRule type="expression" dxfId="18" priority="33" stopIfTrue="1">
      <formula>AND(NOT(ISBLANK($D$35)),NOT(ISBLANK($E$35)))</formula>
    </cfRule>
  </conditionalFormatting>
  <conditionalFormatting sqref="E137:E138">
    <cfRule type="duplicateValues" dxfId="17" priority="21" stopIfTrue="1"/>
  </conditionalFormatting>
  <conditionalFormatting sqref="E46:G46">
    <cfRule type="duplicateValues" dxfId="16" priority="31" stopIfTrue="1"/>
  </conditionalFormatting>
  <conditionalFormatting sqref="E102:G102">
    <cfRule type="duplicateValues" dxfId="15" priority="12" stopIfTrue="1"/>
  </conditionalFormatting>
  <conditionalFormatting sqref="E119:G119">
    <cfRule type="duplicateValues" dxfId="14" priority="18" stopIfTrue="1"/>
  </conditionalFormatting>
  <conditionalFormatting sqref="E120:G120">
    <cfRule type="duplicateValues" dxfId="13" priority="13" stopIfTrue="1"/>
  </conditionalFormatting>
  <conditionalFormatting sqref="E125:G125">
    <cfRule type="duplicateValues" dxfId="12" priority="17" stopIfTrue="1"/>
  </conditionalFormatting>
  <conditionalFormatting sqref="F103">
    <cfRule type="duplicateValues" dxfId="11" priority="14" stopIfTrue="1"/>
  </conditionalFormatting>
  <conditionalFormatting sqref="G58">
    <cfRule type="cellIs" dxfId="10" priority="10" stopIfTrue="1" operator="equal">
      <formula>99999</formula>
    </cfRule>
  </conditionalFormatting>
  <conditionalFormatting sqref="G103">
    <cfRule type="duplicateValues" dxfId="9" priority="16" stopIfTrue="1"/>
  </conditionalFormatting>
  <conditionalFormatting sqref="G137:G138">
    <cfRule type="duplicateValues" dxfId="8" priority="20" stopIfTrue="1"/>
  </conditionalFormatting>
  <conditionalFormatting sqref="F25:F30">
    <cfRule type="expression" dxfId="7" priority="8" stopIfTrue="1">
      <formula>ISTEXT(F25)</formula>
    </cfRule>
  </conditionalFormatting>
  <conditionalFormatting sqref="D25:D30">
    <cfRule type="expression" dxfId="6" priority="7" stopIfTrue="1">
      <formula>ISTEXT(D25)</formula>
    </cfRule>
  </conditionalFormatting>
  <conditionalFormatting sqref="G35:G36">
    <cfRule type="expression" dxfId="5" priority="6" stopIfTrue="1">
      <formula>ISTEXT(G35)</formula>
    </cfRule>
  </conditionalFormatting>
  <conditionalFormatting sqref="D35:D36">
    <cfRule type="expression" dxfId="4" priority="5" stopIfTrue="1">
      <formula>ISTEXT(D35)</formula>
    </cfRule>
  </conditionalFormatting>
  <conditionalFormatting sqref="F65:F68">
    <cfRule type="expression" dxfId="3" priority="4" stopIfTrue="1">
      <formula>ISTEXT(F65)</formula>
    </cfRule>
  </conditionalFormatting>
  <conditionalFormatting sqref="D65:D68">
    <cfRule type="expression" dxfId="2" priority="3" stopIfTrue="1">
      <formula>ISTEXT(D65)</formula>
    </cfRule>
  </conditionalFormatting>
  <conditionalFormatting sqref="F74:F77">
    <cfRule type="expression" dxfId="1" priority="2" stopIfTrue="1">
      <formula>ISTEXT(F74)</formula>
    </cfRule>
  </conditionalFormatting>
  <conditionalFormatting sqref="D74:D77">
    <cfRule type="expression" dxfId="0" priority="1" stopIfTrue="1">
      <formula>ISTEXT(D74)</formula>
    </cfRule>
  </conditionalFormatting>
  <dataValidations count="4">
    <dataValidation type="list" allowBlank="1" showInputMessage="1" showErrorMessage="1" sqref="C125" xr:uid="{00000000-0002-0000-0000-000000000000}">
      <formula1>$L$24:$L$32</formula1>
    </dataValidation>
    <dataValidation type="list" allowBlank="1" showInputMessage="1" showErrorMessage="1" sqref="C120" xr:uid="{00000000-0002-0000-0000-000001000000}">
      <formula1>$L$16:$L$22</formula1>
    </dataValidation>
    <dataValidation type="list" allowBlank="1" showInputMessage="1" showErrorMessage="1" sqref="C102" xr:uid="{00000000-0002-0000-0000-000002000000}">
      <formula1>$L$5:$L$14</formula1>
    </dataValidation>
    <dataValidation type="list" allowBlank="1" showInputMessage="1" showErrorMessage="1" errorTitle="Error" error="Seleccione X de la lista desplegable, no se permiten otros valores" promptTitle="Marcar" prompt="Si considera esta respuesta adecuada seleccione X" sqref="G137:G138 D54:G54 D94:G95 D108:E108 D115:F115 D133:E135 E35 E137:E138 D46:G46" xr:uid="{00000000-0002-0000-0000-000003000000}">
      <formula1>$A$20</formula1>
    </dataValidation>
  </dataValidations>
  <hyperlinks>
    <hyperlink ref="B13" r:id="rId1" xr:uid="{00000000-0004-0000-0000-000000000000}"/>
    <hyperlink ref="E143" r:id="rId2" xr:uid="{B1CB10B2-69C0-40C5-B617-FF96548EA890}"/>
  </hyperlinks>
  <printOptions horizontalCentered="1"/>
  <pageMargins left="0.59055118110236227" right="0.78740157480314965" top="0.59055118110236227" bottom="0.59055118110236227" header="0" footer="0"/>
  <pageSetup scale="58" fitToHeight="2" orientation="portrait"/>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F200"/>
  <sheetViews>
    <sheetView workbookViewId="0">
      <pane xSplit="1" ySplit="1" topLeftCell="B181" activePane="bottomRight" state="frozen"/>
      <selection activeCell="D201" sqref="D201"/>
      <selection pane="topRight" activeCell="D201" sqref="D201"/>
      <selection pane="bottomLeft" activeCell="D201" sqref="D201"/>
      <selection pane="bottomRight" activeCell="D201" sqref="D201"/>
    </sheetView>
  </sheetViews>
  <sheetFormatPr baseColWidth="10" defaultColWidth="11.453125" defaultRowHeight="13" x14ac:dyDescent="0.3"/>
  <cols>
    <col min="1" max="1" width="7.453125" style="100" bestFit="1" customWidth="1"/>
    <col min="2" max="2" width="14.54296875" style="100" bestFit="1" customWidth="1"/>
    <col min="3" max="3" width="23.54296875" style="100" bestFit="1" customWidth="1"/>
    <col min="4" max="4" width="16.81640625" style="100" bestFit="1" customWidth="1"/>
    <col min="5" max="5" width="26.453125" style="100" bestFit="1" customWidth="1"/>
    <col min="6" max="6" width="17.26953125" style="100" customWidth="1"/>
    <col min="7" max="7" width="11.453125" style="100" customWidth="1"/>
    <col min="8" max="16384" width="11.453125" style="100"/>
  </cols>
  <sheetData>
    <row r="1" spans="1:6" ht="14.5" customHeight="1" x14ac:dyDescent="0.35">
      <c r="A1" s="1"/>
      <c r="B1" s="1" t="s">
        <v>206</v>
      </c>
      <c r="C1" s="1" t="s">
        <v>207</v>
      </c>
      <c r="D1" s="1" t="s">
        <v>208</v>
      </c>
      <c r="E1" s="1" t="s">
        <v>209</v>
      </c>
      <c r="F1" s="1" t="s">
        <v>210</v>
      </c>
    </row>
    <row r="2" spans="1:6" ht="14.5" customHeight="1" x14ac:dyDescent="0.35">
      <c r="A2" s="101">
        <v>40148</v>
      </c>
      <c r="B2" s="102">
        <v>2</v>
      </c>
      <c r="C2" s="102"/>
      <c r="D2" s="102">
        <v>2044.23</v>
      </c>
      <c r="E2" s="102">
        <v>-8.885758984484692</v>
      </c>
      <c r="F2" s="102">
        <v>11.312200000000001</v>
      </c>
    </row>
    <row r="3" spans="1:6" ht="14.5" customHeight="1" x14ac:dyDescent="0.35">
      <c r="A3" s="101">
        <v>40179</v>
      </c>
      <c r="B3" s="102">
        <v>2.1</v>
      </c>
      <c r="C3" s="102"/>
      <c r="D3" s="102">
        <v>1982.29</v>
      </c>
      <c r="E3" s="102">
        <v>-18.100000000000001</v>
      </c>
      <c r="F3" s="102">
        <v>14.8787</v>
      </c>
    </row>
    <row r="4" spans="1:6" ht="14.5" customHeight="1" x14ac:dyDescent="0.35">
      <c r="A4" s="101">
        <v>40210</v>
      </c>
      <c r="B4" s="102">
        <v>2.09</v>
      </c>
      <c r="C4" s="102"/>
      <c r="D4" s="102">
        <v>1932.32</v>
      </c>
      <c r="E4" s="102">
        <v>-24.4</v>
      </c>
      <c r="F4" s="102">
        <v>12.694699999999999</v>
      </c>
    </row>
    <row r="5" spans="1:6" ht="14.5" customHeight="1" x14ac:dyDescent="0.35">
      <c r="A5" s="101">
        <v>40238</v>
      </c>
      <c r="B5" s="102">
        <v>1.84</v>
      </c>
      <c r="C5" s="102"/>
      <c r="D5" s="102">
        <v>1928.59</v>
      </c>
      <c r="E5" s="102">
        <v>-24.7</v>
      </c>
      <c r="F5" s="102">
        <v>11.959</v>
      </c>
    </row>
    <row r="6" spans="1:6" ht="14.5" customHeight="1" x14ac:dyDescent="0.35">
      <c r="A6" s="101">
        <v>40269</v>
      </c>
      <c r="B6" s="102">
        <v>1.98</v>
      </c>
      <c r="C6" s="102"/>
      <c r="D6" s="102">
        <v>1969.75</v>
      </c>
      <c r="E6" s="102">
        <v>-13.97</v>
      </c>
      <c r="F6" s="102">
        <v>12.4399</v>
      </c>
    </row>
    <row r="7" spans="1:6" ht="14.5" customHeight="1" x14ac:dyDescent="0.35">
      <c r="A7" s="101">
        <v>40299</v>
      </c>
      <c r="B7" s="102">
        <v>2.0699999999999998</v>
      </c>
      <c r="C7" s="102"/>
      <c r="D7" s="102">
        <v>1971.55</v>
      </c>
      <c r="E7" s="102">
        <v>-7.9</v>
      </c>
      <c r="F7" s="102">
        <v>12.263400000000001</v>
      </c>
    </row>
    <row r="8" spans="1:6" ht="14.5" customHeight="1" x14ac:dyDescent="0.35">
      <c r="A8" s="101">
        <v>40330</v>
      </c>
      <c r="B8" s="102">
        <v>2.25</v>
      </c>
      <c r="C8" s="102"/>
      <c r="D8" s="102">
        <v>1916.46</v>
      </c>
      <c r="E8" s="102">
        <v>-11.22</v>
      </c>
      <c r="F8" s="102">
        <v>11.9801</v>
      </c>
    </row>
    <row r="9" spans="1:6" ht="14.5" customHeight="1" x14ac:dyDescent="0.35">
      <c r="A9" s="101">
        <v>40360</v>
      </c>
      <c r="B9" s="102">
        <v>2.2400000000000002</v>
      </c>
      <c r="C9" s="102"/>
      <c r="D9" s="102">
        <v>1842.79</v>
      </c>
      <c r="E9" s="102">
        <v>-9.82</v>
      </c>
      <c r="F9" s="102">
        <v>12.8583</v>
      </c>
    </row>
    <row r="10" spans="1:6" ht="14.5" customHeight="1" x14ac:dyDescent="0.35">
      <c r="A10" s="101">
        <v>40391</v>
      </c>
      <c r="B10" s="102">
        <v>2.31</v>
      </c>
      <c r="C10" s="102"/>
      <c r="D10" s="102">
        <v>1823.74</v>
      </c>
      <c r="E10" s="102">
        <v>-10.38</v>
      </c>
      <c r="F10" s="102">
        <v>11.3779</v>
      </c>
    </row>
    <row r="11" spans="1:6" ht="14.5" customHeight="1" x14ac:dyDescent="0.35">
      <c r="A11" s="101">
        <v>40422</v>
      </c>
      <c r="B11" s="102">
        <v>2.2799999999999998</v>
      </c>
      <c r="C11" s="102"/>
      <c r="D11" s="102">
        <v>1799.89</v>
      </c>
      <c r="E11" s="102">
        <v>-6.35</v>
      </c>
      <c r="F11" s="102">
        <v>10.8675</v>
      </c>
    </row>
    <row r="12" spans="1:6" ht="14.5" customHeight="1" x14ac:dyDescent="0.35">
      <c r="A12" s="101">
        <v>40452</v>
      </c>
      <c r="B12" s="102">
        <v>2.33</v>
      </c>
      <c r="C12" s="102"/>
      <c r="D12" s="102">
        <v>1831.64</v>
      </c>
      <c r="E12" s="102">
        <v>-8.1332129601765395</v>
      </c>
      <c r="F12" s="102">
        <v>10.452500000000001</v>
      </c>
    </row>
    <row r="13" spans="1:6" ht="14.5" customHeight="1" x14ac:dyDescent="0.35">
      <c r="A13" s="101">
        <v>40483</v>
      </c>
      <c r="B13" s="102">
        <v>2.59</v>
      </c>
      <c r="C13" s="102"/>
      <c r="D13" s="102">
        <v>1916.96</v>
      </c>
      <c r="E13" s="102">
        <v>-4.0305987073648186</v>
      </c>
      <c r="F13" s="102">
        <v>10.934100000000001</v>
      </c>
    </row>
    <row r="14" spans="1:6" ht="14.5" customHeight="1" x14ac:dyDescent="0.35">
      <c r="A14" s="101">
        <v>40513</v>
      </c>
      <c r="B14" s="102">
        <v>3.17</v>
      </c>
      <c r="C14" s="102"/>
      <c r="D14" s="102">
        <v>1913.98</v>
      </c>
      <c r="E14" s="102">
        <v>-6.3715922376640588</v>
      </c>
      <c r="F14" s="102">
        <v>11.2264</v>
      </c>
    </row>
    <row r="15" spans="1:6" ht="14.5" customHeight="1" x14ac:dyDescent="0.35">
      <c r="A15" s="101">
        <v>40544</v>
      </c>
      <c r="B15" s="102">
        <v>3.4</v>
      </c>
      <c r="C15" s="102"/>
      <c r="D15" s="102">
        <v>1857.98</v>
      </c>
      <c r="E15" s="102">
        <v>-6.27</v>
      </c>
      <c r="F15" s="102">
        <v>13.8965</v>
      </c>
    </row>
    <row r="16" spans="1:6" ht="14.5" customHeight="1" x14ac:dyDescent="0.35">
      <c r="A16" s="101">
        <v>40575</v>
      </c>
      <c r="B16" s="102">
        <v>3.17</v>
      </c>
      <c r="C16" s="102"/>
      <c r="D16" s="102">
        <v>1895.56</v>
      </c>
      <c r="E16" s="102">
        <v>-1.9</v>
      </c>
      <c r="F16" s="102">
        <v>13.1393</v>
      </c>
    </row>
    <row r="17" spans="1:6" ht="14.5" customHeight="1" x14ac:dyDescent="0.35">
      <c r="A17" s="101">
        <v>40603</v>
      </c>
      <c r="B17" s="102">
        <v>3.19</v>
      </c>
      <c r="C17" s="102"/>
      <c r="D17" s="102">
        <v>1879.47</v>
      </c>
      <c r="E17" s="102">
        <v>-2.5499999999999998</v>
      </c>
      <c r="F17" s="102">
        <v>10.9483</v>
      </c>
    </row>
    <row r="18" spans="1:6" ht="14.5" customHeight="1" x14ac:dyDescent="0.35">
      <c r="A18" s="101">
        <v>40634</v>
      </c>
      <c r="B18" s="102">
        <v>2.84</v>
      </c>
      <c r="C18" s="102"/>
      <c r="D18" s="102">
        <v>1768.19</v>
      </c>
      <c r="E18" s="102">
        <v>-10.23</v>
      </c>
      <c r="F18" s="102">
        <v>11.2743</v>
      </c>
    </row>
    <row r="19" spans="1:6" ht="14.5" customHeight="1" x14ac:dyDescent="0.35">
      <c r="A19" s="101">
        <v>40664</v>
      </c>
      <c r="B19" s="102">
        <v>3.02</v>
      </c>
      <c r="C19" s="102"/>
      <c r="D19" s="102">
        <v>1817.34</v>
      </c>
      <c r="E19" s="102">
        <v>-7.82</v>
      </c>
      <c r="F19" s="102">
        <v>11.553599999999999</v>
      </c>
    </row>
    <row r="20" spans="1:6" ht="14.5" customHeight="1" x14ac:dyDescent="0.35">
      <c r="A20" s="101">
        <v>40695</v>
      </c>
      <c r="B20" s="102">
        <v>3.23</v>
      </c>
      <c r="C20" s="102"/>
      <c r="D20" s="102">
        <v>1780.16</v>
      </c>
      <c r="E20" s="102">
        <v>-7.1099999999999994</v>
      </c>
      <c r="F20" s="102">
        <v>11.036</v>
      </c>
    </row>
    <row r="21" spans="1:6" ht="14.5" customHeight="1" x14ac:dyDescent="0.35">
      <c r="A21" s="101">
        <v>40725</v>
      </c>
      <c r="B21" s="102">
        <v>3.42</v>
      </c>
      <c r="C21" s="102"/>
      <c r="D21" s="102">
        <v>1777.82</v>
      </c>
      <c r="E21" s="102">
        <v>-3.53</v>
      </c>
      <c r="F21" s="102">
        <v>11.704000000000001</v>
      </c>
    </row>
    <row r="22" spans="1:6" ht="14.5" customHeight="1" x14ac:dyDescent="0.35">
      <c r="A22" s="101">
        <v>40756</v>
      </c>
      <c r="B22" s="102">
        <v>3.27</v>
      </c>
      <c r="C22" s="102"/>
      <c r="D22" s="102">
        <v>1783.66</v>
      </c>
      <c r="E22" s="102">
        <v>-2.2000000000000002</v>
      </c>
      <c r="F22" s="102">
        <v>10.415699999999999</v>
      </c>
    </row>
    <row r="23" spans="1:6" ht="14.5" customHeight="1" x14ac:dyDescent="0.35">
      <c r="A23" s="101">
        <v>40787</v>
      </c>
      <c r="B23" s="102">
        <v>3.73</v>
      </c>
      <c r="C23" s="102"/>
      <c r="D23" s="102">
        <v>1915.1</v>
      </c>
      <c r="E23" s="102">
        <v>6.4</v>
      </c>
      <c r="F23" s="102">
        <v>9.9278999999999993</v>
      </c>
    </row>
    <row r="24" spans="1:6" ht="14.5" customHeight="1" x14ac:dyDescent="0.35">
      <c r="A24" s="101">
        <v>40817</v>
      </c>
      <c r="B24" s="102">
        <v>4.0199999999999996</v>
      </c>
      <c r="C24" s="102"/>
      <c r="D24" s="102">
        <v>1863.06</v>
      </c>
      <c r="E24" s="102">
        <v>1.72</v>
      </c>
      <c r="F24" s="102">
        <v>9.3596000000000004</v>
      </c>
    </row>
    <row r="25" spans="1:6" ht="14.5" customHeight="1" x14ac:dyDescent="0.35">
      <c r="A25" s="101">
        <v>40848</v>
      </c>
      <c r="B25" s="102">
        <v>3.96</v>
      </c>
      <c r="C25" s="102"/>
      <c r="D25" s="102">
        <v>1967.18</v>
      </c>
      <c r="E25" s="102">
        <v>2.62</v>
      </c>
      <c r="F25" s="102">
        <v>9.4934999999999992</v>
      </c>
    </row>
    <row r="26" spans="1:6" ht="14.5" customHeight="1" x14ac:dyDescent="0.35">
      <c r="A26" s="101">
        <v>40878</v>
      </c>
      <c r="B26" s="102">
        <v>3.73</v>
      </c>
      <c r="C26" s="102"/>
      <c r="D26" s="102">
        <v>1942.7</v>
      </c>
      <c r="E26" s="102">
        <v>1.500538145644148</v>
      </c>
      <c r="F26" s="102">
        <v>10.0677</v>
      </c>
    </row>
    <row r="27" spans="1:6" ht="14.5" customHeight="1" x14ac:dyDescent="0.35">
      <c r="A27" s="101">
        <v>40909</v>
      </c>
      <c r="B27" s="102">
        <v>3.54</v>
      </c>
      <c r="C27" s="102"/>
      <c r="D27" s="102">
        <v>1815.08</v>
      </c>
      <c r="E27" s="102">
        <v>-2.31</v>
      </c>
      <c r="F27" s="102">
        <v>12.7911</v>
      </c>
    </row>
    <row r="28" spans="1:6" ht="14.5" customHeight="1" x14ac:dyDescent="0.35">
      <c r="A28" s="101">
        <v>40940</v>
      </c>
      <c r="B28" s="102">
        <v>3.55</v>
      </c>
      <c r="C28" s="102"/>
      <c r="D28" s="102">
        <v>1767.83</v>
      </c>
      <c r="E28" s="102">
        <v>-6.74</v>
      </c>
      <c r="F28" s="102">
        <v>12.074999999999999</v>
      </c>
    </row>
    <row r="29" spans="1:6" ht="14.5" customHeight="1" x14ac:dyDescent="0.35">
      <c r="A29" s="101">
        <v>40969</v>
      </c>
      <c r="B29" s="102">
        <v>3.4</v>
      </c>
      <c r="C29" s="102"/>
      <c r="D29" s="102">
        <v>1792.07</v>
      </c>
      <c r="E29" s="102">
        <v>-4.6500000000000004</v>
      </c>
      <c r="F29" s="102">
        <v>10.5024</v>
      </c>
    </row>
    <row r="30" spans="1:6" ht="14.5" customHeight="1" x14ac:dyDescent="0.35">
      <c r="A30" s="101">
        <v>41000</v>
      </c>
      <c r="B30" s="102">
        <v>3.43</v>
      </c>
      <c r="C30" s="102"/>
      <c r="D30" s="102">
        <v>1761.2</v>
      </c>
      <c r="E30" s="102">
        <v>-0.4</v>
      </c>
      <c r="F30" s="102">
        <v>11.087</v>
      </c>
    </row>
    <row r="31" spans="1:6" ht="14.5" customHeight="1" x14ac:dyDescent="0.35">
      <c r="A31" s="101">
        <v>41030</v>
      </c>
      <c r="B31" s="102">
        <v>3.44</v>
      </c>
      <c r="C31" s="102"/>
      <c r="D31" s="102">
        <v>1827.83</v>
      </c>
      <c r="E31" s="102">
        <v>0.57999999999999996</v>
      </c>
      <c r="F31" s="102">
        <v>10.994999999999999</v>
      </c>
    </row>
    <row r="32" spans="1:6" ht="14.5" customHeight="1" x14ac:dyDescent="0.35">
      <c r="A32" s="101">
        <v>41061</v>
      </c>
      <c r="B32" s="102">
        <v>3.2</v>
      </c>
      <c r="C32" s="102"/>
      <c r="D32" s="102">
        <v>1784.6</v>
      </c>
      <c r="E32" s="102">
        <v>0.25</v>
      </c>
      <c r="F32" s="102">
        <v>10.2437</v>
      </c>
    </row>
    <row r="33" spans="1:6" ht="14.5" customHeight="1" x14ac:dyDescent="0.35">
      <c r="A33" s="101">
        <v>41091</v>
      </c>
      <c r="B33" s="102">
        <v>3.03</v>
      </c>
      <c r="C33" s="102"/>
      <c r="D33" s="102">
        <v>1789.02</v>
      </c>
      <c r="E33" s="102">
        <v>0.63</v>
      </c>
      <c r="F33" s="102">
        <v>11.155799999999999</v>
      </c>
    </row>
    <row r="34" spans="1:6" ht="14.5" customHeight="1" x14ac:dyDescent="0.35">
      <c r="A34" s="101">
        <v>41122</v>
      </c>
      <c r="B34" s="102">
        <v>3.11</v>
      </c>
      <c r="C34" s="102">
        <v>4.7699999999999996</v>
      </c>
      <c r="D34" s="102">
        <v>1830.5</v>
      </c>
      <c r="E34" s="102">
        <v>2.63</v>
      </c>
      <c r="F34" s="102">
        <v>9.9893000000000001</v>
      </c>
    </row>
    <row r="35" spans="1:6" ht="14.5" customHeight="1" x14ac:dyDescent="0.35">
      <c r="A35" s="101">
        <v>41153</v>
      </c>
      <c r="B35" s="102">
        <v>3.08</v>
      </c>
      <c r="C35" s="102">
        <v>4.5679999999999996</v>
      </c>
      <c r="D35" s="102">
        <v>1800.52</v>
      </c>
      <c r="E35" s="102">
        <v>-5.98</v>
      </c>
      <c r="F35" s="102">
        <v>10.144399999999999</v>
      </c>
    </row>
    <row r="36" spans="1:6" ht="14.5" customHeight="1" x14ac:dyDescent="0.35">
      <c r="A36" s="101">
        <v>41183</v>
      </c>
      <c r="B36" s="102">
        <v>3.06</v>
      </c>
      <c r="C36" s="102">
        <v>4.7110000000000003</v>
      </c>
      <c r="D36" s="102">
        <v>1829.89</v>
      </c>
      <c r="E36" s="102">
        <v>-1.78</v>
      </c>
      <c r="F36" s="102">
        <v>9.1692</v>
      </c>
    </row>
    <row r="37" spans="1:6" ht="14.5" customHeight="1" x14ac:dyDescent="0.35">
      <c r="A37" s="101">
        <v>41214</v>
      </c>
      <c r="B37" s="102">
        <v>2.77</v>
      </c>
      <c r="C37" s="102">
        <v>4.5030000000000001</v>
      </c>
      <c r="D37" s="102">
        <v>1817.93</v>
      </c>
      <c r="E37" s="102">
        <v>-7.59</v>
      </c>
      <c r="F37" s="102">
        <v>9.4619</v>
      </c>
    </row>
    <row r="38" spans="1:6" ht="14.5" customHeight="1" x14ac:dyDescent="0.35">
      <c r="A38" s="101">
        <v>41244</v>
      </c>
      <c r="B38" s="102">
        <v>2.44</v>
      </c>
      <c r="C38" s="102">
        <v>4.218</v>
      </c>
      <c r="D38" s="102">
        <v>1768.23</v>
      </c>
      <c r="E38" s="102">
        <v>-8.98</v>
      </c>
      <c r="F38" s="102">
        <v>9.9404000000000003</v>
      </c>
    </row>
    <row r="39" spans="1:6" ht="14.5" customHeight="1" x14ac:dyDescent="0.35">
      <c r="A39" s="101">
        <v>41275</v>
      </c>
      <c r="B39" s="102">
        <v>2</v>
      </c>
      <c r="C39" s="102">
        <v>3.8919999999999999</v>
      </c>
      <c r="D39" s="102">
        <v>1773.24</v>
      </c>
      <c r="E39" s="102">
        <v>-2.31</v>
      </c>
      <c r="F39" s="102">
        <v>12.3415</v>
      </c>
    </row>
    <row r="40" spans="1:6" ht="14.5" customHeight="1" x14ac:dyDescent="0.35">
      <c r="A40" s="101">
        <v>41306</v>
      </c>
      <c r="B40" s="102">
        <v>1.83</v>
      </c>
      <c r="C40" s="102">
        <v>3.6190000000000002</v>
      </c>
      <c r="D40" s="102">
        <v>1816.42</v>
      </c>
      <c r="E40" s="102">
        <v>2.75</v>
      </c>
      <c r="F40" s="102">
        <v>12.0105</v>
      </c>
    </row>
    <row r="41" spans="1:6" ht="14.5" customHeight="1" x14ac:dyDescent="0.35">
      <c r="A41" s="101">
        <v>41334</v>
      </c>
      <c r="B41" s="102">
        <v>1.91</v>
      </c>
      <c r="C41" s="102">
        <v>3.2010000000000001</v>
      </c>
      <c r="D41" s="102">
        <v>1832.2</v>
      </c>
      <c r="E41" s="102">
        <v>2.2400000000000002</v>
      </c>
      <c r="F41" s="102">
        <v>10.383800000000001</v>
      </c>
    </row>
    <row r="42" spans="1:6" ht="14.5" customHeight="1" x14ac:dyDescent="0.35">
      <c r="A42" s="101">
        <v>41365</v>
      </c>
      <c r="B42" s="102">
        <v>2.02</v>
      </c>
      <c r="C42" s="102">
        <v>3.17</v>
      </c>
      <c r="D42" s="102">
        <v>1828.79</v>
      </c>
      <c r="E42" s="102">
        <v>3.84</v>
      </c>
      <c r="F42" s="102">
        <v>10.4518</v>
      </c>
    </row>
    <row r="43" spans="1:6" ht="14.5" customHeight="1" x14ac:dyDescent="0.35">
      <c r="A43" s="101">
        <v>41395</v>
      </c>
      <c r="B43" s="102">
        <v>2</v>
      </c>
      <c r="C43" s="102">
        <v>3.2330000000000001</v>
      </c>
      <c r="D43" s="102">
        <v>1891.48</v>
      </c>
      <c r="E43" s="102">
        <v>3.48</v>
      </c>
      <c r="F43" s="102">
        <v>9.8203999999999994</v>
      </c>
    </row>
    <row r="44" spans="1:6" ht="14.5" customHeight="1" x14ac:dyDescent="0.35">
      <c r="A44" s="101">
        <v>41426</v>
      </c>
      <c r="B44" s="102">
        <v>2.16</v>
      </c>
      <c r="C44" s="102">
        <v>3.2370000000000001</v>
      </c>
      <c r="D44" s="102">
        <v>1929</v>
      </c>
      <c r="E44" s="102">
        <v>8.09</v>
      </c>
      <c r="F44" s="102">
        <v>9.5105000000000004</v>
      </c>
    </row>
    <row r="45" spans="1:6" ht="14.5" customHeight="1" x14ac:dyDescent="0.35">
      <c r="A45" s="101">
        <v>41456</v>
      </c>
      <c r="B45" s="102">
        <v>2.2200000000000002</v>
      </c>
      <c r="C45" s="102">
        <v>3.266</v>
      </c>
      <c r="D45" s="102">
        <v>1890.33</v>
      </c>
      <c r="E45" s="102">
        <v>5.66</v>
      </c>
      <c r="F45" s="102">
        <v>10.162599999999999</v>
      </c>
    </row>
    <row r="46" spans="1:6" ht="14.5" customHeight="1" x14ac:dyDescent="0.35">
      <c r="A46" s="101">
        <v>41487</v>
      </c>
      <c r="B46" s="102">
        <v>2.27</v>
      </c>
      <c r="C46" s="102">
        <v>3.2610000000000001</v>
      </c>
      <c r="D46" s="102">
        <v>1935.43</v>
      </c>
      <c r="E46" s="102">
        <v>5.73</v>
      </c>
      <c r="F46" s="102">
        <v>9.6613000000000007</v>
      </c>
    </row>
    <row r="47" spans="1:6" ht="14.5" customHeight="1" x14ac:dyDescent="0.35">
      <c r="A47" s="101">
        <v>41518</v>
      </c>
      <c r="B47" s="102">
        <v>2.27</v>
      </c>
      <c r="C47" s="102">
        <v>3.27</v>
      </c>
      <c r="D47" s="102">
        <v>1914.65</v>
      </c>
      <c r="E47" s="102">
        <v>6.34</v>
      </c>
      <c r="F47" s="102">
        <v>9.1692</v>
      </c>
    </row>
    <row r="48" spans="1:6" ht="14.5" customHeight="1" x14ac:dyDescent="0.35">
      <c r="A48" s="101">
        <v>41548</v>
      </c>
      <c r="B48" s="102">
        <v>1.84</v>
      </c>
      <c r="C48" s="102">
        <v>3.274</v>
      </c>
      <c r="D48" s="102">
        <v>1884.06</v>
      </c>
      <c r="E48" s="102">
        <v>2.96</v>
      </c>
      <c r="F48" s="102">
        <v>8.1300000000000008</v>
      </c>
    </row>
    <row r="49" spans="1:6" ht="14.5" customHeight="1" x14ac:dyDescent="0.35">
      <c r="A49" s="101">
        <v>41579</v>
      </c>
      <c r="B49" s="102">
        <v>1.76</v>
      </c>
      <c r="C49" s="102">
        <v>3.222</v>
      </c>
      <c r="D49" s="102">
        <v>1931.88</v>
      </c>
      <c r="E49" s="102">
        <v>6.27</v>
      </c>
      <c r="F49" s="102">
        <v>8.6267999999999994</v>
      </c>
    </row>
    <row r="50" spans="1:6" ht="14.5" customHeight="1" x14ac:dyDescent="0.35">
      <c r="A50" s="101">
        <v>41609</v>
      </c>
      <c r="B50" s="102">
        <v>1.94</v>
      </c>
      <c r="C50" s="102">
        <v>3.2490000000000001</v>
      </c>
      <c r="D50" s="102">
        <v>1926.83</v>
      </c>
      <c r="E50" s="102">
        <v>8.9700000000000006</v>
      </c>
      <c r="F50" s="102">
        <v>8.6472999999999995</v>
      </c>
    </row>
    <row r="51" spans="1:6" ht="14.5" customHeight="1" x14ac:dyDescent="0.35">
      <c r="A51" s="101">
        <v>41640</v>
      </c>
      <c r="B51" s="102">
        <v>2.13</v>
      </c>
      <c r="C51" s="102">
        <v>3.2730000000000001</v>
      </c>
      <c r="D51" s="102">
        <v>2008.26</v>
      </c>
      <c r="E51" s="102">
        <v>13.25</v>
      </c>
      <c r="F51" s="102">
        <v>11.532400000000001</v>
      </c>
    </row>
    <row r="52" spans="1:6" ht="14.5" customHeight="1" x14ac:dyDescent="0.35">
      <c r="A52" s="101">
        <v>41671</v>
      </c>
      <c r="B52" s="102">
        <v>2.3199999999999998</v>
      </c>
      <c r="C52" s="102">
        <v>3.278</v>
      </c>
      <c r="D52" s="102">
        <v>2054.9</v>
      </c>
      <c r="E52" s="102">
        <v>13.13</v>
      </c>
      <c r="F52" s="102">
        <v>11.0878</v>
      </c>
    </row>
    <row r="53" spans="1:6" ht="14.5" customHeight="1" x14ac:dyDescent="0.35">
      <c r="A53" s="101">
        <v>41699</v>
      </c>
      <c r="B53" s="102">
        <v>2.5099999999999998</v>
      </c>
      <c r="C53" s="102">
        <v>3.254</v>
      </c>
      <c r="D53" s="102">
        <v>1965.32</v>
      </c>
      <c r="E53" s="102">
        <v>7.27</v>
      </c>
      <c r="F53" s="102">
        <v>9.8445</v>
      </c>
    </row>
    <row r="54" spans="1:6" ht="14.5" customHeight="1" x14ac:dyDescent="0.35">
      <c r="A54" s="101">
        <v>41730</v>
      </c>
      <c r="B54" s="102">
        <v>2.72</v>
      </c>
      <c r="C54" s="102">
        <v>3.722</v>
      </c>
      <c r="D54" s="102">
        <v>1935.14</v>
      </c>
      <c r="E54" s="102">
        <v>5.82</v>
      </c>
      <c r="F54" s="102">
        <v>9.3084000000000007</v>
      </c>
    </row>
    <row r="55" spans="1:6" ht="14.5" customHeight="1" x14ac:dyDescent="0.35">
      <c r="A55" s="101">
        <v>41760</v>
      </c>
      <c r="B55" s="102">
        <v>2.93</v>
      </c>
      <c r="C55" s="102">
        <v>3.8719999999999999</v>
      </c>
      <c r="D55" s="102">
        <v>1900.64</v>
      </c>
      <c r="E55" s="102">
        <v>0.48</v>
      </c>
      <c r="F55" s="102">
        <v>9.0673999999999992</v>
      </c>
    </row>
    <row r="56" spans="1:6" ht="14.5" customHeight="1" x14ac:dyDescent="0.35">
      <c r="A56" s="101">
        <v>41791</v>
      </c>
      <c r="B56" s="102">
        <v>2.79</v>
      </c>
      <c r="C56" s="102">
        <v>4.2530000000000001</v>
      </c>
      <c r="D56" s="102">
        <v>1881.19</v>
      </c>
      <c r="E56" s="102">
        <v>-2.48</v>
      </c>
      <c r="F56" s="102">
        <v>9.4018999999999995</v>
      </c>
    </row>
    <row r="57" spans="1:6" ht="14.5" customHeight="1" x14ac:dyDescent="0.35">
      <c r="A57" s="101">
        <v>41821</v>
      </c>
      <c r="B57" s="102">
        <v>2.89</v>
      </c>
      <c r="C57" s="102">
        <v>4.351</v>
      </c>
      <c r="D57" s="102">
        <v>1872.43</v>
      </c>
      <c r="E57" s="102">
        <v>-0.95</v>
      </c>
      <c r="F57" s="102">
        <v>9.6865000000000006</v>
      </c>
    </row>
    <row r="58" spans="1:6" ht="14.5" customHeight="1" x14ac:dyDescent="0.35">
      <c r="A58" s="101">
        <v>41852</v>
      </c>
      <c r="B58" s="102">
        <v>3.02</v>
      </c>
      <c r="C58" s="102">
        <v>4.484</v>
      </c>
      <c r="D58" s="102">
        <v>1918.62</v>
      </c>
      <c r="E58" s="102">
        <v>-0.86999999999999988</v>
      </c>
      <c r="F58" s="102">
        <v>9.16</v>
      </c>
    </row>
    <row r="59" spans="1:6" ht="14.5" customHeight="1" x14ac:dyDescent="0.35">
      <c r="A59" s="101">
        <v>41883</v>
      </c>
      <c r="B59" s="102">
        <v>2.86</v>
      </c>
      <c r="C59" s="102">
        <v>4.5129999999999999</v>
      </c>
      <c r="D59" s="102">
        <v>2028.48</v>
      </c>
      <c r="E59" s="102">
        <v>5.95</v>
      </c>
      <c r="F59" s="102">
        <v>8.6057000000000006</v>
      </c>
    </row>
    <row r="60" spans="1:6" ht="14.5" customHeight="1" x14ac:dyDescent="0.35">
      <c r="A60" s="101">
        <v>41913</v>
      </c>
      <c r="B60" s="102">
        <v>3.29</v>
      </c>
      <c r="C60" s="102">
        <v>4.5049999999999999</v>
      </c>
      <c r="D60" s="102">
        <v>2050.52</v>
      </c>
      <c r="E60" s="102">
        <v>8.8351751005806722</v>
      </c>
      <c r="F60" s="102">
        <v>8.0952999999999999</v>
      </c>
    </row>
    <row r="61" spans="1:6" ht="14.5" customHeight="1" x14ac:dyDescent="0.35">
      <c r="A61" s="101">
        <v>41944</v>
      </c>
      <c r="B61" s="102">
        <v>3.65</v>
      </c>
      <c r="C61" s="102">
        <v>4.4909999999999997</v>
      </c>
      <c r="D61" s="102">
        <v>2206.19</v>
      </c>
      <c r="E61" s="102">
        <v>14.19912209868108</v>
      </c>
      <c r="F61" s="102">
        <v>8.0622000000000007</v>
      </c>
    </row>
    <row r="62" spans="1:6" ht="14.5" customHeight="1" x14ac:dyDescent="0.35">
      <c r="A62" s="101">
        <v>41974</v>
      </c>
      <c r="B62" s="102">
        <v>3.66</v>
      </c>
      <c r="C62" s="102">
        <v>4.4950000000000001</v>
      </c>
      <c r="D62" s="102">
        <v>2392.46</v>
      </c>
      <c r="E62" s="102">
        <v>24.1655984181272</v>
      </c>
      <c r="F62" s="102">
        <v>9.0374999999999996</v>
      </c>
    </row>
    <row r="63" spans="1:6" ht="14.5" customHeight="1" x14ac:dyDescent="0.35">
      <c r="A63" s="101">
        <v>42005</v>
      </c>
      <c r="B63" s="102">
        <v>3.82</v>
      </c>
      <c r="C63" s="102">
        <v>4.4640000000000004</v>
      </c>
      <c r="D63" s="102">
        <v>2441.1</v>
      </c>
      <c r="E63" s="102">
        <v>21.55</v>
      </c>
      <c r="F63" s="102">
        <v>11.1517</v>
      </c>
    </row>
    <row r="64" spans="1:6" ht="14.5" customHeight="1" x14ac:dyDescent="0.35">
      <c r="A64" s="101">
        <v>42036</v>
      </c>
      <c r="B64" s="102">
        <v>4.3600000000000003</v>
      </c>
      <c r="C64" s="102">
        <v>4.47</v>
      </c>
      <c r="D64" s="102">
        <v>2496.9899999999998</v>
      </c>
      <c r="E64" s="102">
        <v>21.51</v>
      </c>
      <c r="F64" s="102">
        <v>10.227600000000001</v>
      </c>
    </row>
    <row r="65" spans="1:6" ht="14.5" customHeight="1" x14ac:dyDescent="0.35">
      <c r="A65" s="101">
        <v>42064</v>
      </c>
      <c r="B65" s="102">
        <v>4.5599999999999996</v>
      </c>
      <c r="C65" s="102">
        <v>4.5270000000000001</v>
      </c>
      <c r="D65" s="102">
        <v>2576.0500000000002</v>
      </c>
      <c r="E65" s="102">
        <v>31.08</v>
      </c>
      <c r="F65" s="102">
        <v>9.1227999999999998</v>
      </c>
    </row>
    <row r="66" spans="1:6" ht="14.5" customHeight="1" x14ac:dyDescent="0.35">
      <c r="A66" s="101">
        <v>42095</v>
      </c>
      <c r="B66" s="102">
        <v>4.6399999999999997</v>
      </c>
      <c r="C66" s="102">
        <v>4.5220000000000002</v>
      </c>
      <c r="D66" s="102">
        <v>2388.06</v>
      </c>
      <c r="E66" s="102">
        <v>23.41</v>
      </c>
      <c r="F66" s="102">
        <v>9.7372999999999994</v>
      </c>
    </row>
    <row r="67" spans="1:6" ht="14.5" customHeight="1" x14ac:dyDescent="0.35">
      <c r="A67" s="101">
        <v>42125</v>
      </c>
      <c r="B67" s="102">
        <v>4.41</v>
      </c>
      <c r="C67" s="102">
        <v>4.5069999999999997</v>
      </c>
      <c r="D67" s="102">
        <v>2533.79</v>
      </c>
      <c r="E67" s="102">
        <v>33.31</v>
      </c>
      <c r="F67" s="102">
        <v>9.2216000000000005</v>
      </c>
    </row>
    <row r="68" spans="1:6" ht="14.5" customHeight="1" x14ac:dyDescent="0.35">
      <c r="A68" s="101">
        <v>42156</v>
      </c>
      <c r="B68" s="102">
        <v>4.42</v>
      </c>
      <c r="C68" s="102">
        <v>4.5129999999999999</v>
      </c>
      <c r="D68" s="102">
        <v>2585.11</v>
      </c>
      <c r="E68" s="102">
        <v>37.419999999999987</v>
      </c>
      <c r="F68" s="102">
        <v>8.4986999999999995</v>
      </c>
    </row>
    <row r="69" spans="1:6" ht="14.5" customHeight="1" x14ac:dyDescent="0.35">
      <c r="A69" s="101">
        <v>42186</v>
      </c>
      <c r="B69" s="102">
        <v>4.46</v>
      </c>
      <c r="C69" s="102">
        <v>4.5369999999999999</v>
      </c>
      <c r="D69" s="102">
        <v>2866.04</v>
      </c>
      <c r="E69" s="102">
        <v>53.069999999999993</v>
      </c>
      <c r="F69" s="102">
        <v>9.2236999999999991</v>
      </c>
    </row>
    <row r="70" spans="1:6" ht="14.5" customHeight="1" x14ac:dyDescent="0.35">
      <c r="A70" s="101">
        <v>42217</v>
      </c>
      <c r="B70" s="102">
        <v>4.74</v>
      </c>
      <c r="C70" s="102">
        <v>4.7149999999999999</v>
      </c>
      <c r="D70" s="102">
        <v>3101.1</v>
      </c>
      <c r="E70" s="102">
        <v>61.63000000000001</v>
      </c>
      <c r="F70" s="102">
        <v>9.3035999999999994</v>
      </c>
    </row>
    <row r="71" spans="1:6" ht="14.5" customHeight="1" x14ac:dyDescent="0.35">
      <c r="A71" s="101">
        <v>42248</v>
      </c>
      <c r="B71" s="102">
        <v>5.35</v>
      </c>
      <c r="C71" s="102">
        <v>4.9770000000000003</v>
      </c>
      <c r="D71" s="102">
        <v>3121.94</v>
      </c>
      <c r="E71" s="102">
        <v>53.909999999999989</v>
      </c>
      <c r="F71" s="102">
        <v>9.0681999999999992</v>
      </c>
    </row>
    <row r="72" spans="1:6" ht="14.5" customHeight="1" x14ac:dyDescent="0.35">
      <c r="A72" s="101">
        <v>42278</v>
      </c>
      <c r="B72" s="102">
        <v>5.89</v>
      </c>
      <c r="C72" s="102">
        <v>5.3869999999999996</v>
      </c>
      <c r="D72" s="102">
        <v>2897.83</v>
      </c>
      <c r="E72" s="102">
        <v>41.32</v>
      </c>
      <c r="F72" s="102">
        <v>8.4384999999999994</v>
      </c>
    </row>
    <row r="73" spans="1:6" ht="14.5" customHeight="1" x14ac:dyDescent="0.35">
      <c r="A73" s="101">
        <v>42309</v>
      </c>
      <c r="B73" s="102">
        <v>6.39</v>
      </c>
      <c r="C73" s="102">
        <v>5.8419999999999996</v>
      </c>
      <c r="D73" s="102">
        <v>3101.1</v>
      </c>
      <c r="E73" s="102">
        <v>40.56</v>
      </c>
      <c r="F73" s="102">
        <v>7.5631000000000004</v>
      </c>
    </row>
    <row r="74" spans="1:6" ht="14.5" customHeight="1" x14ac:dyDescent="0.35">
      <c r="A74" s="101">
        <v>42339</v>
      </c>
      <c r="B74" s="102">
        <v>6.77</v>
      </c>
      <c r="C74" s="102">
        <v>6.0679999999999996</v>
      </c>
      <c r="D74" s="102">
        <v>3149.47</v>
      </c>
      <c r="E74" s="102">
        <v>31.64</v>
      </c>
      <c r="F74" s="102">
        <v>8.8226999999999993</v>
      </c>
    </row>
    <row r="75" spans="1:6" ht="14.5" customHeight="1" x14ac:dyDescent="0.35">
      <c r="A75" s="101">
        <v>42370</v>
      </c>
      <c r="B75" s="102">
        <v>7.45</v>
      </c>
      <c r="C75" s="102">
        <v>6.3170000000000002</v>
      </c>
      <c r="D75" s="102">
        <v>3287.31</v>
      </c>
      <c r="E75" s="102">
        <v>34.67</v>
      </c>
      <c r="F75" s="102">
        <v>12.1784</v>
      </c>
    </row>
    <row r="76" spans="1:6" ht="14.5" customHeight="1" x14ac:dyDescent="0.35">
      <c r="A76" s="101">
        <v>42401</v>
      </c>
      <c r="B76" s="102">
        <v>7.59</v>
      </c>
      <c r="C76" s="102">
        <v>6.5789999999999997</v>
      </c>
      <c r="D76" s="102">
        <v>3306</v>
      </c>
      <c r="E76" s="102">
        <v>32.4</v>
      </c>
      <c r="F76" s="102">
        <v>10.367800000000001</v>
      </c>
    </row>
    <row r="77" spans="1:6" ht="14.5" customHeight="1" x14ac:dyDescent="0.35">
      <c r="A77" s="101">
        <v>42430</v>
      </c>
      <c r="B77" s="102">
        <v>7.98</v>
      </c>
      <c r="C77" s="102">
        <v>6.7229999999999999</v>
      </c>
      <c r="D77" s="102">
        <v>3022.35</v>
      </c>
      <c r="E77" s="102">
        <v>17.32</v>
      </c>
      <c r="F77" s="102">
        <v>10.464600000000001</v>
      </c>
    </row>
    <row r="78" spans="1:6" ht="14.5" customHeight="1" x14ac:dyDescent="0.35">
      <c r="A78" s="101">
        <v>42461</v>
      </c>
      <c r="B78" s="102">
        <v>7.93</v>
      </c>
      <c r="C78" s="102">
        <v>6.9829999999999997</v>
      </c>
      <c r="D78" s="102">
        <v>2851.14</v>
      </c>
      <c r="E78" s="102">
        <v>19.39</v>
      </c>
      <c r="F78" s="102">
        <v>9.3194999999999997</v>
      </c>
    </row>
    <row r="79" spans="1:6" ht="14.5" customHeight="1" x14ac:dyDescent="0.35">
      <c r="A79" s="101">
        <v>42491</v>
      </c>
      <c r="B79" s="102">
        <v>8.1999999999999993</v>
      </c>
      <c r="C79" s="102">
        <v>7.3789999999999996</v>
      </c>
      <c r="D79" s="102">
        <v>3069.17</v>
      </c>
      <c r="E79" s="102">
        <v>21.13</v>
      </c>
      <c r="F79" s="102">
        <v>9.2373999999999992</v>
      </c>
    </row>
    <row r="80" spans="1:6" ht="14.5" customHeight="1" x14ac:dyDescent="0.35">
      <c r="A80" s="101">
        <v>42522</v>
      </c>
      <c r="B80" s="102">
        <v>8.6</v>
      </c>
      <c r="C80" s="102">
        <v>7.5389999999999997</v>
      </c>
      <c r="D80" s="102">
        <v>2916.15</v>
      </c>
      <c r="E80" s="102">
        <v>12.81</v>
      </c>
      <c r="F80" s="102">
        <v>9.19</v>
      </c>
    </row>
    <row r="81" spans="1:6" ht="14.5" customHeight="1" x14ac:dyDescent="0.35">
      <c r="A81" s="101">
        <v>42552</v>
      </c>
      <c r="B81" s="102">
        <v>8.9700000000000006</v>
      </c>
      <c r="C81" s="102">
        <v>7.6909999999999998</v>
      </c>
      <c r="D81" s="102">
        <v>3081.75</v>
      </c>
      <c r="E81" s="102">
        <v>7.53</v>
      </c>
      <c r="F81" s="102">
        <v>10.2006</v>
      </c>
    </row>
    <row r="82" spans="1:6" ht="14.5" customHeight="1" x14ac:dyDescent="0.35">
      <c r="A82" s="101">
        <v>42583</v>
      </c>
      <c r="B82" s="102">
        <v>8.1</v>
      </c>
      <c r="C82" s="102">
        <v>7.8239999999999998</v>
      </c>
      <c r="D82" s="102">
        <v>2933.82</v>
      </c>
      <c r="E82" s="102">
        <v>-5.39</v>
      </c>
      <c r="F82" s="102">
        <v>9.2325999999999997</v>
      </c>
    </row>
    <row r="83" spans="1:6" ht="14.5" customHeight="1" x14ac:dyDescent="0.35">
      <c r="A83" s="101">
        <v>42614</v>
      </c>
      <c r="B83" s="102">
        <v>7.27</v>
      </c>
      <c r="C83" s="102">
        <v>7.7359999999999998</v>
      </c>
      <c r="D83" s="102">
        <v>2879.95</v>
      </c>
      <c r="E83" s="102">
        <v>-7.75</v>
      </c>
      <c r="F83" s="102">
        <v>8.8534000000000006</v>
      </c>
    </row>
    <row r="84" spans="1:6" ht="14.5" customHeight="1" x14ac:dyDescent="0.35">
      <c r="A84" s="101">
        <v>42644</v>
      </c>
      <c r="B84" s="102">
        <v>6.48</v>
      </c>
      <c r="C84" s="102">
        <v>7.7050000000000001</v>
      </c>
      <c r="D84" s="102">
        <v>2967.66</v>
      </c>
      <c r="E84" s="102">
        <v>2.4097341804039552</v>
      </c>
      <c r="F84" s="102">
        <v>8.6280000000000001</v>
      </c>
    </row>
    <row r="85" spans="1:6" ht="14.5" customHeight="1" x14ac:dyDescent="0.35">
      <c r="A85" s="101">
        <v>42675</v>
      </c>
      <c r="B85" s="102">
        <v>5.96</v>
      </c>
      <c r="C85" s="102">
        <v>7.6319999999999997</v>
      </c>
      <c r="D85" s="102">
        <v>3165.09</v>
      </c>
      <c r="E85" s="102">
        <v>2.0634613524233458</v>
      </c>
      <c r="F85" s="102">
        <v>7.7732000000000001</v>
      </c>
    </row>
    <row r="86" spans="1:6" ht="14.5" customHeight="1" x14ac:dyDescent="0.35">
      <c r="A86" s="101">
        <v>42705</v>
      </c>
      <c r="B86" s="102">
        <v>5.75</v>
      </c>
      <c r="C86" s="102">
        <v>7.2039999999999997</v>
      </c>
      <c r="D86" s="102">
        <v>3000.71</v>
      </c>
      <c r="E86" s="102">
        <v>-4.7233344022962527</v>
      </c>
      <c r="F86" s="102">
        <v>9.0970999999999993</v>
      </c>
    </row>
    <row r="87" spans="1:6" ht="14.5" customHeight="1" x14ac:dyDescent="0.35">
      <c r="A87" s="101">
        <v>42736</v>
      </c>
      <c r="B87" s="102">
        <v>5.47</v>
      </c>
      <c r="C87" s="102">
        <v>7.3319999999999999</v>
      </c>
      <c r="D87" s="102">
        <v>2936.66</v>
      </c>
      <c r="E87" s="102">
        <v>-10.67</v>
      </c>
      <c r="F87" s="102">
        <v>11.956899999999999</v>
      </c>
    </row>
    <row r="88" spans="1:6" ht="14.5" customHeight="1" x14ac:dyDescent="0.35">
      <c r="A88" s="101">
        <v>42767</v>
      </c>
      <c r="B88" s="102">
        <v>5.18</v>
      </c>
      <c r="C88" s="102">
        <v>7.03</v>
      </c>
      <c r="D88" s="102">
        <v>2896.27</v>
      </c>
      <c r="E88" s="102">
        <v>-12.39</v>
      </c>
      <c r="F88" s="102">
        <v>10.872999999999999</v>
      </c>
    </row>
    <row r="89" spans="1:6" ht="14.5" customHeight="1" x14ac:dyDescent="0.35">
      <c r="A89" s="101">
        <v>42795</v>
      </c>
      <c r="B89" s="102">
        <v>4.6900000000000004</v>
      </c>
      <c r="C89" s="102">
        <v>6.6379999999999999</v>
      </c>
      <c r="D89" s="102">
        <v>2880.24</v>
      </c>
      <c r="E89" s="102">
        <v>-4.7</v>
      </c>
      <c r="F89" s="102">
        <v>9.9046000000000003</v>
      </c>
    </row>
    <row r="90" spans="1:6" ht="14.5" customHeight="1" x14ac:dyDescent="0.35">
      <c r="A90" s="101">
        <v>42826</v>
      </c>
      <c r="B90" s="102">
        <v>4.66</v>
      </c>
      <c r="C90" s="102">
        <v>6.1970000000000001</v>
      </c>
      <c r="D90" s="102">
        <v>2947.85</v>
      </c>
      <c r="E90" s="102">
        <v>3.39</v>
      </c>
      <c r="F90" s="102">
        <v>9.1358999999999995</v>
      </c>
    </row>
    <row r="91" spans="1:6" ht="14.5" customHeight="1" x14ac:dyDescent="0.35">
      <c r="A91" s="101">
        <v>42856</v>
      </c>
      <c r="B91" s="102">
        <v>4.37</v>
      </c>
      <c r="C91" s="102">
        <v>5.87</v>
      </c>
      <c r="D91" s="102">
        <v>2920.42</v>
      </c>
      <c r="E91" s="102">
        <v>-4.8500000000000014</v>
      </c>
      <c r="F91" s="102">
        <v>9.8379999999999992</v>
      </c>
    </row>
    <row r="92" spans="1:6" ht="14.5" customHeight="1" x14ac:dyDescent="0.35">
      <c r="A92" s="101">
        <v>42887</v>
      </c>
      <c r="B92" s="102">
        <v>3.99</v>
      </c>
      <c r="C92" s="102">
        <v>5.5039999999999996</v>
      </c>
      <c r="D92" s="102">
        <v>3038.26</v>
      </c>
      <c r="E92" s="102">
        <v>4.1900000000000004</v>
      </c>
      <c r="F92" s="102">
        <v>8.9772999999999996</v>
      </c>
    </row>
    <row r="93" spans="1:6" ht="14.5" customHeight="1" x14ac:dyDescent="0.35">
      <c r="A93" s="101">
        <v>42917</v>
      </c>
      <c r="B93" s="102">
        <v>3.4</v>
      </c>
      <c r="C93" s="102">
        <v>5.3449999999999998</v>
      </c>
      <c r="D93" s="102">
        <v>2995.23</v>
      </c>
      <c r="E93" s="102">
        <v>-2.81</v>
      </c>
      <c r="F93" s="102">
        <v>9.9404000000000003</v>
      </c>
    </row>
    <row r="94" spans="1:6" ht="14.5" customHeight="1" x14ac:dyDescent="0.35">
      <c r="A94" s="101">
        <v>42948</v>
      </c>
      <c r="B94" s="102">
        <v>3.87</v>
      </c>
      <c r="C94" s="102">
        <v>5.1929999999999996</v>
      </c>
      <c r="D94" s="102">
        <v>2937.09</v>
      </c>
      <c r="E94" s="102">
        <v>0.11</v>
      </c>
      <c r="F94" s="102">
        <v>9.5167999999999999</v>
      </c>
    </row>
    <row r="95" spans="1:6" ht="14.5" customHeight="1" x14ac:dyDescent="0.35">
      <c r="A95" s="101">
        <v>42979</v>
      </c>
      <c r="B95" s="102">
        <v>3.97</v>
      </c>
      <c r="C95" s="102">
        <v>5.1459999999999999</v>
      </c>
      <c r="D95" s="102">
        <v>2936.67</v>
      </c>
      <c r="E95" s="102">
        <v>1.97</v>
      </c>
      <c r="F95" s="102">
        <v>9.5469000000000008</v>
      </c>
    </row>
    <row r="96" spans="1:6" ht="14.5" customHeight="1" x14ac:dyDescent="0.35">
      <c r="A96" s="101">
        <v>43009</v>
      </c>
      <c r="B96" s="102">
        <v>4.05</v>
      </c>
      <c r="C96" s="102">
        <v>4.9459999999999997</v>
      </c>
      <c r="D96" s="102">
        <v>3011.44</v>
      </c>
      <c r="E96" s="102">
        <v>1.475236381526202</v>
      </c>
      <c r="F96" s="102">
        <v>8.7399000000000004</v>
      </c>
    </row>
    <row r="97" spans="1:6" ht="14.5" customHeight="1" x14ac:dyDescent="0.35">
      <c r="A97" s="101">
        <v>43040</v>
      </c>
      <c r="B97" s="102">
        <v>4.12</v>
      </c>
      <c r="C97" s="102">
        <v>4.5620000000000003</v>
      </c>
      <c r="D97" s="102">
        <v>3006.09</v>
      </c>
      <c r="E97" s="102">
        <v>-5.0235538325924427</v>
      </c>
      <c r="F97" s="102">
        <v>8.7647999999999993</v>
      </c>
    </row>
    <row r="98" spans="1:6" ht="14.5" customHeight="1" x14ac:dyDescent="0.35">
      <c r="A98" s="101">
        <v>43070</v>
      </c>
      <c r="B98" s="102">
        <v>4.09</v>
      </c>
      <c r="C98" s="102">
        <v>4.6550000000000002</v>
      </c>
      <c r="D98" s="102">
        <v>2984</v>
      </c>
      <c r="E98" s="102">
        <v>-0.55686820785747493</v>
      </c>
      <c r="F98" s="102">
        <v>8.9122000000000003</v>
      </c>
    </row>
    <row r="99" spans="1:6" ht="14.5" customHeight="1" x14ac:dyDescent="0.35">
      <c r="A99" s="101">
        <v>43101</v>
      </c>
      <c r="B99" s="102">
        <v>3.68</v>
      </c>
      <c r="C99" s="102">
        <v>4.4770000000000003</v>
      </c>
      <c r="D99" s="102">
        <v>2844.14</v>
      </c>
      <c r="E99" s="102">
        <v>-3.15</v>
      </c>
      <c r="F99" s="102">
        <v>12.1374</v>
      </c>
    </row>
    <row r="100" spans="1:6" ht="14.5" customHeight="1" x14ac:dyDescent="0.35">
      <c r="A100" s="101">
        <v>43132</v>
      </c>
      <c r="B100" s="102">
        <v>3.37</v>
      </c>
      <c r="C100" s="102">
        <v>4.4130000000000003</v>
      </c>
      <c r="D100" s="102">
        <v>2855.93</v>
      </c>
      <c r="E100" s="102">
        <v>-1.39</v>
      </c>
      <c r="F100" s="102">
        <v>11.1882</v>
      </c>
    </row>
    <row r="101" spans="1:6" ht="14.5" customHeight="1" x14ac:dyDescent="0.35">
      <c r="A101" s="101">
        <v>43160</v>
      </c>
      <c r="B101" s="102">
        <v>3.14</v>
      </c>
      <c r="C101" s="102">
        <v>4.3319999999999999</v>
      </c>
      <c r="D101" s="102">
        <v>2780.47</v>
      </c>
      <c r="E101" s="102">
        <v>-3.46</v>
      </c>
      <c r="F101" s="102">
        <v>9.7715999999999994</v>
      </c>
    </row>
    <row r="102" spans="1:6" ht="14.5" customHeight="1" x14ac:dyDescent="0.35">
      <c r="A102" s="101">
        <v>43191</v>
      </c>
      <c r="B102" s="102">
        <v>3.13</v>
      </c>
      <c r="C102" s="102">
        <v>4.1980000000000004</v>
      </c>
      <c r="D102" s="102">
        <v>2806.28</v>
      </c>
      <c r="E102" s="102">
        <v>-4.8024831656970202</v>
      </c>
      <c r="F102" s="102">
        <v>9.7292000000000005</v>
      </c>
    </row>
    <row r="103" spans="1:6" ht="14.5" customHeight="1" x14ac:dyDescent="0.35">
      <c r="A103" s="101">
        <v>43221</v>
      </c>
      <c r="B103" s="102">
        <v>3.16</v>
      </c>
      <c r="C103" s="102">
        <v>4.202</v>
      </c>
      <c r="D103" s="102">
        <v>2879.32</v>
      </c>
      <c r="E103" s="102">
        <v>-1.4073318221351701</v>
      </c>
      <c r="F103" s="102">
        <v>9.9794999999999998</v>
      </c>
    </row>
    <row r="104" spans="1:6" ht="14.5" customHeight="1" x14ac:dyDescent="0.35">
      <c r="A104" s="101">
        <v>43252</v>
      </c>
      <c r="B104" s="102">
        <v>3.2</v>
      </c>
      <c r="C104" s="102">
        <v>4.2519999999999998</v>
      </c>
      <c r="D104" s="102">
        <v>2930.8</v>
      </c>
      <c r="E104" s="102">
        <v>-3.5368928268153499</v>
      </c>
      <c r="F104" s="102">
        <v>9.3085000000000004</v>
      </c>
    </row>
    <row r="105" spans="1:6" ht="14.5" customHeight="1" x14ac:dyDescent="0.35">
      <c r="A105" s="101">
        <v>43282</v>
      </c>
      <c r="B105" s="102">
        <v>3.12</v>
      </c>
      <c r="C105" s="102">
        <v>4.2460000000000004</v>
      </c>
      <c r="D105" s="102">
        <v>2875.72</v>
      </c>
      <c r="E105" s="102">
        <v>-3.99</v>
      </c>
      <c r="F105" s="102">
        <v>10.042299999999999</v>
      </c>
    </row>
    <row r="106" spans="1:6" ht="14.5" customHeight="1" x14ac:dyDescent="0.35">
      <c r="A106" s="101">
        <v>43313</v>
      </c>
      <c r="B106" s="102">
        <v>3.1</v>
      </c>
      <c r="C106" s="102">
        <v>4.25</v>
      </c>
      <c r="D106" s="102">
        <v>3027.39</v>
      </c>
      <c r="E106" s="102">
        <v>3.07</v>
      </c>
      <c r="F106" s="102">
        <v>9.4291999999999998</v>
      </c>
    </row>
    <row r="107" spans="1:6" ht="14.5" customHeight="1" x14ac:dyDescent="0.35">
      <c r="A107" s="101">
        <v>43344</v>
      </c>
      <c r="B107" s="102">
        <v>3.23</v>
      </c>
      <c r="C107" s="102">
        <v>4.2560000000000002</v>
      </c>
      <c r="D107" s="102">
        <v>2972.18</v>
      </c>
      <c r="E107" s="102">
        <v>1.21</v>
      </c>
      <c r="F107" s="102">
        <v>9.6707000000000001</v>
      </c>
    </row>
    <row r="108" spans="1:6" ht="14.5" customHeight="1" x14ac:dyDescent="0.35">
      <c r="A108" s="101">
        <v>43374</v>
      </c>
      <c r="B108" s="102">
        <v>3.33</v>
      </c>
      <c r="C108" s="102">
        <v>4.2830000000000004</v>
      </c>
      <c r="D108" s="102">
        <v>3202.44</v>
      </c>
      <c r="E108" s="102">
        <v>6.3424806736976258</v>
      </c>
      <c r="F108" s="102">
        <v>9.3614999999999995</v>
      </c>
    </row>
    <row r="109" spans="1:6" ht="14.5" customHeight="1" x14ac:dyDescent="0.35">
      <c r="A109" s="101">
        <v>43405</v>
      </c>
      <c r="B109" s="102">
        <v>3.27</v>
      </c>
      <c r="C109" s="102">
        <v>4.2779999999999996</v>
      </c>
      <c r="D109" s="102">
        <v>3240.02</v>
      </c>
      <c r="E109" s="102">
        <v>7.7818694716392356</v>
      </c>
      <c r="F109" s="102">
        <v>8.9905000000000008</v>
      </c>
    </row>
    <row r="110" spans="1:6" ht="14.5" customHeight="1" x14ac:dyDescent="0.35">
      <c r="A110" s="101">
        <v>43435</v>
      </c>
      <c r="B110" s="102">
        <v>3.18</v>
      </c>
      <c r="C110" s="102">
        <v>4.2670000000000003</v>
      </c>
      <c r="D110" s="102">
        <v>3249.75</v>
      </c>
      <c r="E110" s="102">
        <v>8.9058310991957157</v>
      </c>
      <c r="F110" s="102">
        <v>9.9891000000000005</v>
      </c>
    </row>
    <row r="111" spans="1:6" ht="14.5" customHeight="1" x14ac:dyDescent="0.35">
      <c r="A111" s="101">
        <v>43466</v>
      </c>
      <c r="B111" s="102">
        <v>3.15</v>
      </c>
      <c r="C111" s="102">
        <v>4.2560000000000002</v>
      </c>
      <c r="D111" s="102">
        <v>3163.46</v>
      </c>
      <c r="E111" s="102">
        <v>11.23</v>
      </c>
      <c r="F111" s="102">
        <v>13.075200000000001</v>
      </c>
    </row>
    <row r="112" spans="1:6" ht="14.5" customHeight="1" x14ac:dyDescent="0.35">
      <c r="A112" s="101">
        <v>43497</v>
      </c>
      <c r="B112" s="102">
        <v>3.01</v>
      </c>
      <c r="C112" s="102">
        <v>4.2649999999999997</v>
      </c>
      <c r="D112" s="102">
        <v>3072.01</v>
      </c>
      <c r="E112" s="102">
        <v>7.57</v>
      </c>
      <c r="F112" s="102">
        <v>12.092599999999999</v>
      </c>
    </row>
    <row r="113" spans="1:6" ht="14.5" customHeight="1" x14ac:dyDescent="0.35">
      <c r="A113" s="101">
        <v>43525</v>
      </c>
      <c r="B113" s="102">
        <v>3.21</v>
      </c>
      <c r="C113" s="102">
        <v>4.26</v>
      </c>
      <c r="D113" s="102">
        <v>3174.79</v>
      </c>
      <c r="E113" s="102">
        <v>14.18</v>
      </c>
      <c r="F113" s="102">
        <v>11.1814</v>
      </c>
    </row>
    <row r="114" spans="1:6" ht="14.5" customHeight="1" x14ac:dyDescent="0.35">
      <c r="A114" s="101">
        <v>43556</v>
      </c>
      <c r="B114" s="102">
        <v>3.25</v>
      </c>
      <c r="C114" s="102">
        <v>4.2590000000000003</v>
      </c>
      <c r="D114" s="102">
        <v>3247.72</v>
      </c>
      <c r="E114" s="102">
        <v>15.73</v>
      </c>
      <c r="F114" s="102">
        <v>10.656599999999999</v>
      </c>
    </row>
    <row r="115" spans="1:6" ht="14.5" customHeight="1" x14ac:dyDescent="0.35">
      <c r="A115" s="101">
        <v>43586</v>
      </c>
      <c r="B115" s="102">
        <v>3.31</v>
      </c>
      <c r="C115" s="102">
        <v>4.2489999999999997</v>
      </c>
      <c r="D115" s="102">
        <v>3357.82</v>
      </c>
      <c r="E115" s="102">
        <v>16.62</v>
      </c>
      <c r="F115" s="102">
        <v>10.9519</v>
      </c>
    </row>
    <row r="116" spans="1:6" ht="14.5" customHeight="1" x14ac:dyDescent="0.35">
      <c r="A116" s="101">
        <v>43617</v>
      </c>
      <c r="B116" s="102">
        <v>3.43</v>
      </c>
      <c r="C116" s="102">
        <v>4.2160000000000002</v>
      </c>
      <c r="D116" s="102">
        <v>3205.67</v>
      </c>
      <c r="E116" s="102">
        <v>9.379999999999999</v>
      </c>
      <c r="F116" s="102">
        <v>9.7228999999999992</v>
      </c>
    </row>
    <row r="117" spans="1:6" ht="14.5" customHeight="1" x14ac:dyDescent="0.35">
      <c r="A117" s="101">
        <v>43647</v>
      </c>
      <c r="B117" s="102">
        <v>3.79</v>
      </c>
      <c r="C117" s="102">
        <v>4.2359999999999998</v>
      </c>
      <c r="D117" s="102">
        <v>3296.85</v>
      </c>
      <c r="E117" s="102">
        <v>14.64</v>
      </c>
      <c r="F117" s="102">
        <v>11.2807</v>
      </c>
    </row>
    <row r="118" spans="1:6" ht="14.5" customHeight="1" x14ac:dyDescent="0.35">
      <c r="A118" s="101">
        <v>43678</v>
      </c>
      <c r="B118" s="102">
        <v>3.75</v>
      </c>
      <c r="C118" s="102">
        <v>4.2569999999999997</v>
      </c>
      <c r="D118" s="102">
        <v>3427.29</v>
      </c>
      <c r="E118" s="102">
        <v>13.21</v>
      </c>
      <c r="F118" s="102">
        <v>11.1973</v>
      </c>
    </row>
    <row r="119" spans="1:6" ht="14.5" customHeight="1" x14ac:dyDescent="0.35">
      <c r="A119" s="101">
        <v>43709</v>
      </c>
      <c r="B119" s="102">
        <v>3.82</v>
      </c>
      <c r="C119" s="102">
        <v>4.25</v>
      </c>
      <c r="D119" s="102">
        <v>3462.01</v>
      </c>
      <c r="E119" s="102">
        <v>16.48</v>
      </c>
      <c r="F119" s="102">
        <v>10.8003</v>
      </c>
    </row>
    <row r="120" spans="1:6" ht="14.5" customHeight="1" x14ac:dyDescent="0.35">
      <c r="A120" s="101">
        <v>43739</v>
      </c>
      <c r="B120" s="102">
        <v>3.86</v>
      </c>
      <c r="C120" s="102">
        <v>4.2629999999999999</v>
      </c>
      <c r="D120" s="102">
        <v>3389.94</v>
      </c>
      <c r="E120" s="102">
        <v>5.85</v>
      </c>
      <c r="F120" s="102">
        <v>10.1236</v>
      </c>
    </row>
    <row r="121" spans="1:6" ht="14.5" customHeight="1" x14ac:dyDescent="0.35">
      <c r="A121" s="101">
        <v>43770</v>
      </c>
      <c r="B121" s="102">
        <v>3.84</v>
      </c>
      <c r="C121" s="102">
        <v>4.26</v>
      </c>
      <c r="D121" s="102">
        <v>3522.48</v>
      </c>
      <c r="E121" s="102">
        <v>8.7200000000000006</v>
      </c>
      <c r="F121" s="102">
        <v>9.6186000000000007</v>
      </c>
    </row>
    <row r="122" spans="1:6" ht="14.5" customHeight="1" x14ac:dyDescent="0.35">
      <c r="A122" s="101">
        <v>43800</v>
      </c>
      <c r="B122" s="102">
        <v>3.8</v>
      </c>
      <c r="C122" s="102">
        <v>4.258</v>
      </c>
      <c r="D122" s="102">
        <v>3277.14</v>
      </c>
      <c r="E122" s="102">
        <v>0.8428340641587706</v>
      </c>
      <c r="F122" s="102">
        <v>9.9497</v>
      </c>
    </row>
    <row r="123" spans="1:6" ht="14.5" customHeight="1" x14ac:dyDescent="0.35">
      <c r="A123" s="101">
        <v>43831</v>
      </c>
      <c r="B123" s="102">
        <v>3.62</v>
      </c>
      <c r="C123" s="102">
        <v>4.258</v>
      </c>
      <c r="D123" s="102">
        <v>3411.45</v>
      </c>
      <c r="E123" s="102">
        <v>7.84</v>
      </c>
      <c r="F123" s="102">
        <v>13.458500000000001</v>
      </c>
    </row>
    <row r="124" spans="1:6" ht="14.5" customHeight="1" x14ac:dyDescent="0.35">
      <c r="A124" s="101">
        <v>43862</v>
      </c>
      <c r="B124" s="102">
        <v>3.72</v>
      </c>
      <c r="C124" s="102">
        <v>4.2519999999999998</v>
      </c>
      <c r="D124" s="102">
        <v>3539.86</v>
      </c>
      <c r="E124" s="102">
        <v>15.23</v>
      </c>
      <c r="F124" s="102">
        <v>12.8131</v>
      </c>
    </row>
    <row r="125" spans="1:6" ht="14.5" customHeight="1" x14ac:dyDescent="0.35">
      <c r="A125" s="101">
        <v>43891</v>
      </c>
      <c r="B125" s="102">
        <v>3.86</v>
      </c>
      <c r="C125" s="102">
        <v>3.3719999999999999</v>
      </c>
      <c r="D125" s="102">
        <v>4064.81</v>
      </c>
      <c r="E125" s="102">
        <v>28.03</v>
      </c>
      <c r="F125" s="102">
        <v>13.1828</v>
      </c>
    </row>
    <row r="126" spans="1:6" ht="14.5" customHeight="1" x14ac:dyDescent="0.35">
      <c r="A126" s="101">
        <v>43922</v>
      </c>
      <c r="B126" s="102">
        <v>3.51</v>
      </c>
      <c r="C126" s="102">
        <v>2.9420000000000002</v>
      </c>
      <c r="D126" s="102">
        <v>3983.29</v>
      </c>
      <c r="E126" s="102">
        <v>22.65</v>
      </c>
      <c r="F126" s="102">
        <v>20.485299999999999</v>
      </c>
    </row>
    <row r="127" spans="1:6" ht="14.5" customHeight="1" x14ac:dyDescent="0.35">
      <c r="A127" s="101">
        <v>43952</v>
      </c>
      <c r="B127" s="102">
        <v>2.85</v>
      </c>
      <c r="C127" s="102">
        <v>2.548</v>
      </c>
      <c r="D127" s="102">
        <v>3718.82</v>
      </c>
      <c r="E127" s="102">
        <v>10.75</v>
      </c>
      <c r="F127" s="102">
        <v>21.972000000000001</v>
      </c>
    </row>
    <row r="128" spans="1:6" ht="14.5" customHeight="1" x14ac:dyDescent="0.35">
      <c r="A128" s="101">
        <v>43983</v>
      </c>
      <c r="B128" s="102">
        <v>2.19</v>
      </c>
      <c r="C128" s="102">
        <v>2.2730000000000001</v>
      </c>
      <c r="D128" s="102">
        <v>3758.91</v>
      </c>
      <c r="E128" s="102">
        <v>17.260000000000002</v>
      </c>
      <c r="F128" s="102">
        <v>20.359100000000002</v>
      </c>
    </row>
    <row r="129" spans="1:6" ht="14.5" customHeight="1" x14ac:dyDescent="0.35">
      <c r="A129" s="101">
        <v>44013</v>
      </c>
      <c r="B129" s="102">
        <v>1.97</v>
      </c>
      <c r="C129" s="102">
        <v>2.141</v>
      </c>
      <c r="D129" s="102">
        <v>3739.49</v>
      </c>
      <c r="E129" s="102">
        <v>13.43</v>
      </c>
      <c r="F129" s="102">
        <v>20.9147</v>
      </c>
    </row>
    <row r="130" spans="1:6" ht="14.5" customHeight="1" x14ac:dyDescent="0.35">
      <c r="A130" s="101">
        <v>44044</v>
      </c>
      <c r="B130" s="102">
        <v>1.88</v>
      </c>
      <c r="C130" s="102">
        <v>2.0630000000000002</v>
      </c>
      <c r="D130" s="102">
        <v>3760.38</v>
      </c>
      <c r="E130" s="102">
        <v>9.7200000000000006</v>
      </c>
      <c r="F130" s="102">
        <v>17.442699999999999</v>
      </c>
    </row>
    <row r="131" spans="1:6" ht="14.5" customHeight="1" x14ac:dyDescent="0.35">
      <c r="A131" s="101">
        <v>44075</v>
      </c>
      <c r="B131" s="102">
        <v>1.97</v>
      </c>
      <c r="C131" s="102">
        <v>1.7370000000000001</v>
      </c>
      <c r="D131" s="102">
        <v>3878.94</v>
      </c>
      <c r="E131" s="102">
        <v>12.04</v>
      </c>
      <c r="F131" s="102">
        <v>16.2928</v>
      </c>
    </row>
    <row r="132" spans="1:6" ht="14.5" customHeight="1" x14ac:dyDescent="0.35">
      <c r="A132" s="101">
        <v>44105</v>
      </c>
      <c r="B132" s="102">
        <v>1.75</v>
      </c>
      <c r="C132" s="102">
        <v>1.7190000000000001</v>
      </c>
      <c r="D132" s="102">
        <v>3858.56</v>
      </c>
      <c r="E132" s="102">
        <v>13.82</v>
      </c>
      <c r="F132" s="102">
        <v>15.2814</v>
      </c>
    </row>
    <row r="133" spans="1:6" ht="14.5" customHeight="1" x14ac:dyDescent="0.35">
      <c r="A133" s="101">
        <v>44136</v>
      </c>
      <c r="B133" s="102">
        <v>1.49</v>
      </c>
      <c r="C133" s="102">
        <v>1.748</v>
      </c>
      <c r="D133" s="102">
        <v>3611.44</v>
      </c>
      <c r="E133" s="102">
        <v>2.5299999999999998</v>
      </c>
      <c r="F133" s="102">
        <v>13.912800000000001</v>
      </c>
    </row>
    <row r="134" spans="1:6" ht="14.5" customHeight="1" x14ac:dyDescent="0.35">
      <c r="A134" s="101">
        <v>44166</v>
      </c>
      <c r="B134" s="102">
        <v>1.61</v>
      </c>
      <c r="C134" s="102">
        <v>1.728</v>
      </c>
      <c r="D134" s="102">
        <v>3432.5</v>
      </c>
      <c r="E134" s="102">
        <v>4.74</v>
      </c>
      <c r="F134" s="102">
        <v>13.914199999999999</v>
      </c>
    </row>
    <row r="135" spans="1:6" ht="14.5" customHeight="1" x14ac:dyDescent="0.35">
      <c r="A135" s="101">
        <v>44197</v>
      </c>
      <c r="B135" s="102">
        <v>1.6</v>
      </c>
      <c r="C135" s="102">
        <v>1.6930000000000001</v>
      </c>
      <c r="D135" s="102">
        <v>3559.46</v>
      </c>
      <c r="E135" s="102">
        <v>4.34</v>
      </c>
      <c r="F135" s="102">
        <v>17.563300000000002</v>
      </c>
    </row>
    <row r="136" spans="1:6" ht="14.5" customHeight="1" x14ac:dyDescent="0.35">
      <c r="A136" s="101">
        <v>44228</v>
      </c>
      <c r="B136" s="102">
        <v>1.56</v>
      </c>
      <c r="C136" s="102">
        <v>1.728</v>
      </c>
      <c r="D136" s="102">
        <v>3624.39</v>
      </c>
      <c r="E136" s="102">
        <v>2.39</v>
      </c>
      <c r="F136" s="102">
        <v>15.5852</v>
      </c>
    </row>
    <row r="137" spans="1:6" ht="14.5" customHeight="1" x14ac:dyDescent="0.35">
      <c r="A137" s="101">
        <v>44256</v>
      </c>
      <c r="B137" s="102">
        <v>1.51</v>
      </c>
      <c r="C137" s="102">
        <v>1.772</v>
      </c>
      <c r="D137" s="102">
        <v>3736.91</v>
      </c>
      <c r="E137" s="102">
        <v>-8.07</v>
      </c>
      <c r="F137" s="102">
        <v>14.7255</v>
      </c>
    </row>
    <row r="138" spans="1:6" ht="14.5" customHeight="1" x14ac:dyDescent="0.35">
      <c r="A138" s="101">
        <v>44287</v>
      </c>
      <c r="B138" s="102">
        <v>1.95</v>
      </c>
      <c r="C138" s="102">
        <v>1.7450000000000001</v>
      </c>
      <c r="D138" s="102">
        <v>3712.89</v>
      </c>
      <c r="E138" s="102">
        <v>-6.79</v>
      </c>
      <c r="F138" s="102">
        <v>15.488</v>
      </c>
    </row>
    <row r="139" spans="1:6" ht="14.5" customHeight="1" x14ac:dyDescent="0.35">
      <c r="A139" s="101">
        <v>44317</v>
      </c>
      <c r="B139" s="102">
        <v>3.3</v>
      </c>
      <c r="C139" s="102">
        <v>1.837</v>
      </c>
      <c r="D139" s="102">
        <v>3715.28</v>
      </c>
      <c r="E139" s="102">
        <v>-0.1</v>
      </c>
      <c r="F139" s="102">
        <v>15.2042</v>
      </c>
    </row>
    <row r="140" spans="1:6" ht="14.5" customHeight="1" x14ac:dyDescent="0.35">
      <c r="A140" s="101">
        <v>44348</v>
      </c>
      <c r="B140" s="102">
        <v>3.63</v>
      </c>
      <c r="C140" s="102">
        <v>1.923</v>
      </c>
      <c r="D140" s="102">
        <v>3756.67</v>
      </c>
      <c r="E140" s="102">
        <v>-0.06</v>
      </c>
      <c r="F140" s="102">
        <v>14.646599999999999</v>
      </c>
    </row>
    <row r="141" spans="1:6" ht="14.5" customHeight="1" x14ac:dyDescent="0.35">
      <c r="A141" s="101">
        <v>44378</v>
      </c>
      <c r="B141" s="102">
        <v>3.97</v>
      </c>
      <c r="C141" s="102">
        <v>1.863</v>
      </c>
      <c r="D141" s="102">
        <v>3867.88</v>
      </c>
      <c r="E141" s="102">
        <v>3.43</v>
      </c>
      <c r="F141" s="102">
        <v>13.0585</v>
      </c>
    </row>
    <row r="142" spans="1:6" ht="14.5" customHeight="1" x14ac:dyDescent="0.35">
      <c r="A142" s="101">
        <v>44409</v>
      </c>
      <c r="B142" s="102">
        <v>4.4400000000000004</v>
      </c>
      <c r="C142" s="102">
        <v>2.0249999999999999</v>
      </c>
      <c r="D142" s="102">
        <v>3806.87</v>
      </c>
      <c r="E142" s="102">
        <v>1.24</v>
      </c>
      <c r="F142" s="102">
        <v>12.8614</v>
      </c>
    </row>
    <row r="143" spans="1:6" ht="14.5" customHeight="1" x14ac:dyDescent="0.35">
      <c r="A143" s="101">
        <v>44440</v>
      </c>
      <c r="B143" s="102">
        <v>4.51</v>
      </c>
      <c r="C143" s="102">
        <v>2.4449999999999998</v>
      </c>
      <c r="D143" s="102">
        <v>3834.68</v>
      </c>
      <c r="E143" s="102">
        <v>-1.1399999999999999</v>
      </c>
      <c r="F143" s="102">
        <v>11.9613</v>
      </c>
    </row>
    <row r="144" spans="1:6" ht="14.5" customHeight="1" x14ac:dyDescent="0.35">
      <c r="A144" s="101">
        <v>44470</v>
      </c>
      <c r="B144" s="102">
        <v>4.58</v>
      </c>
      <c r="C144" s="102">
        <v>2.6859999999999999</v>
      </c>
      <c r="D144" s="102">
        <v>3784.44</v>
      </c>
      <c r="E144" s="102">
        <v>-1.92</v>
      </c>
      <c r="F144" s="102">
        <v>11.995200000000001</v>
      </c>
    </row>
    <row r="145" spans="1:6" ht="14.5" customHeight="1" x14ac:dyDescent="0.35">
      <c r="A145" s="101">
        <v>44501</v>
      </c>
      <c r="B145" s="102">
        <v>5.26</v>
      </c>
      <c r="C145" s="102">
        <v>3.0910000000000002</v>
      </c>
      <c r="D145" s="102">
        <v>4010.98</v>
      </c>
      <c r="E145" s="102">
        <v>11.06</v>
      </c>
      <c r="F145" s="102">
        <v>11.533099999999999</v>
      </c>
    </row>
    <row r="146" spans="1:6" ht="14.5" customHeight="1" x14ac:dyDescent="0.35">
      <c r="A146" s="101">
        <v>44531</v>
      </c>
      <c r="B146" s="102">
        <v>5.6226713901415648</v>
      </c>
      <c r="C146" s="102">
        <v>3.5110000000000001</v>
      </c>
      <c r="D146" s="102">
        <v>3981.16</v>
      </c>
      <c r="E146" s="102">
        <v>15.98</v>
      </c>
      <c r="F146" s="102">
        <v>11.096500000000001</v>
      </c>
    </row>
    <row r="147" spans="1:6" ht="14.5" customHeight="1" x14ac:dyDescent="0.35">
      <c r="A147" s="101">
        <v>44562</v>
      </c>
      <c r="B147" s="102">
        <v>6.9445991916718297</v>
      </c>
      <c r="C147" s="102">
        <v>4.3739999999999997</v>
      </c>
      <c r="D147" s="102">
        <v>3982.6</v>
      </c>
      <c r="E147" s="102">
        <v>11.887758255465711</v>
      </c>
      <c r="F147" s="102">
        <v>14.6473</v>
      </c>
    </row>
    <row r="148" spans="1:6" ht="14.5" customHeight="1" x14ac:dyDescent="0.35">
      <c r="A148" s="101">
        <v>44593</v>
      </c>
      <c r="B148" s="102">
        <v>8.005195301860347</v>
      </c>
      <c r="C148" s="102">
        <v>5.2560000000000002</v>
      </c>
      <c r="D148" s="102">
        <v>3910.64</v>
      </c>
      <c r="E148" s="102">
        <v>7.8978807468291112</v>
      </c>
      <c r="F148" s="102">
        <v>12.905200000000001</v>
      </c>
    </row>
    <row r="149" spans="1:6" ht="14.5" customHeight="1" x14ac:dyDescent="0.35">
      <c r="A149" s="101">
        <v>44621</v>
      </c>
      <c r="B149" s="102">
        <v>8.5278752531998681</v>
      </c>
      <c r="C149" s="102">
        <v>6.3470000000000004</v>
      </c>
      <c r="D149" s="102">
        <v>3748.15</v>
      </c>
      <c r="E149" s="102">
        <v>0.30078326745894829</v>
      </c>
      <c r="F149" s="102">
        <v>12.1212</v>
      </c>
    </row>
    <row r="150" spans="1:6" ht="14.5" customHeight="1" x14ac:dyDescent="0.35">
      <c r="A150" s="101">
        <v>44652</v>
      </c>
      <c r="B150" s="102">
        <v>9.2341040422196485</v>
      </c>
      <c r="C150" s="102">
        <v>6.4589999999999996</v>
      </c>
      <c r="D150" s="102">
        <v>3966.27</v>
      </c>
      <c r="E150" s="102">
        <v>6.8243336053586354</v>
      </c>
      <c r="F150" s="102">
        <v>11.1685</v>
      </c>
    </row>
    <row r="151" spans="1:6" ht="14.5" customHeight="1" x14ac:dyDescent="0.35">
      <c r="A151" s="101">
        <v>44682</v>
      </c>
      <c r="B151" s="102">
        <v>9.0667767289255288</v>
      </c>
      <c r="C151" s="102">
        <v>7.2329999999999997</v>
      </c>
      <c r="D151" s="102">
        <v>3912.34</v>
      </c>
      <c r="E151" s="102">
        <v>5.3040416873021634</v>
      </c>
      <c r="F151" s="102">
        <v>10.648300000000001</v>
      </c>
    </row>
    <row r="152" spans="1:6" ht="14.5" customHeight="1" x14ac:dyDescent="0.35">
      <c r="A152" s="101">
        <v>44713</v>
      </c>
      <c r="B152" s="102">
        <v>9.6738344957970401</v>
      </c>
      <c r="C152" s="102">
        <v>8.3279999999999994</v>
      </c>
      <c r="D152" s="102">
        <v>4127.47</v>
      </c>
      <c r="E152" s="102">
        <v>9.8704437706798931</v>
      </c>
      <c r="F152" s="102">
        <v>11.261200000000001</v>
      </c>
    </row>
    <row r="153" spans="1:6" ht="14.5" customHeight="1" x14ac:dyDescent="0.35">
      <c r="A153" s="101">
        <v>44743</v>
      </c>
      <c r="B153" s="102">
        <v>10.205825019961431</v>
      </c>
      <c r="C153" s="102">
        <v>9.2840000000000007</v>
      </c>
      <c r="D153" s="102">
        <v>4300.3</v>
      </c>
      <c r="E153" s="102">
        <v>11.179767728057749</v>
      </c>
      <c r="F153" s="102">
        <v>10.988899999999999</v>
      </c>
    </row>
    <row r="154" spans="1:6" ht="14.5" customHeight="1" x14ac:dyDescent="0.35">
      <c r="A154" s="101">
        <v>44774</v>
      </c>
      <c r="B154" s="102">
        <v>10.835976009571651</v>
      </c>
      <c r="C154" s="102">
        <v>9.9749999999999996</v>
      </c>
      <c r="D154" s="102">
        <v>4400.16</v>
      </c>
      <c r="E154" s="102">
        <v>15.58471920501619</v>
      </c>
      <c r="F154" s="102">
        <v>10.6313</v>
      </c>
    </row>
    <row r="155" spans="1:6" ht="14.5" customHeight="1" x14ac:dyDescent="0.35">
      <c r="A155" s="101">
        <v>44805</v>
      </c>
      <c r="B155" s="102">
        <v>11.43988567411451</v>
      </c>
      <c r="C155" s="102">
        <v>10.712</v>
      </c>
      <c r="D155" s="102">
        <v>4532.07</v>
      </c>
      <c r="E155" s="102">
        <v>18.18639364953529</v>
      </c>
      <c r="F155" s="102">
        <v>10.7484</v>
      </c>
    </row>
    <row r="156" spans="1:6" ht="14.5" customHeight="1" x14ac:dyDescent="0.35">
      <c r="A156" s="101">
        <v>44835</v>
      </c>
      <c r="B156" s="102">
        <v>12.221753580520531</v>
      </c>
      <c r="C156" s="102">
        <v>11.454000000000001</v>
      </c>
      <c r="D156" s="102">
        <v>4819.12</v>
      </c>
      <c r="E156" s="102">
        <v>27.340372683937389</v>
      </c>
      <c r="F156" s="102">
        <v>9.7210000000000001</v>
      </c>
    </row>
    <row r="157" spans="1:6" ht="14.5" customHeight="1" x14ac:dyDescent="0.35">
      <c r="A157" s="101">
        <v>44866</v>
      </c>
      <c r="B157" s="102">
        <v>12.53146158418288</v>
      </c>
      <c r="C157" s="102">
        <v>11.722</v>
      </c>
      <c r="D157" s="102">
        <v>4809.51</v>
      </c>
      <c r="E157" s="102">
        <v>19.908600890555441</v>
      </c>
      <c r="F157" s="102">
        <v>9.5007999999999999</v>
      </c>
    </row>
    <row r="158" spans="1:6" ht="14.5" customHeight="1" x14ac:dyDescent="0.35">
      <c r="A158" s="101">
        <v>44896</v>
      </c>
      <c r="B158" s="102">
        <v>13.1224642994638</v>
      </c>
      <c r="C158" s="102">
        <v>12.359</v>
      </c>
      <c r="D158" s="102">
        <v>4810.2</v>
      </c>
      <c r="E158" s="102">
        <v>20.824081423504719</v>
      </c>
      <c r="F158" s="102">
        <v>10.2727</v>
      </c>
    </row>
    <row r="159" spans="1:6" ht="14.5" customHeight="1" x14ac:dyDescent="0.35">
      <c r="A159" s="101">
        <v>44927</v>
      </c>
      <c r="B159" s="102">
        <v>13.251978835328559</v>
      </c>
      <c r="C159" s="102">
        <v>12.834</v>
      </c>
      <c r="D159" s="102">
        <v>4632.2</v>
      </c>
      <c r="E159" s="102">
        <v>16.3109526440014</v>
      </c>
      <c r="F159" s="102">
        <v>13.704360068</v>
      </c>
    </row>
    <row r="160" spans="1:6" ht="14.5" customHeight="1" x14ac:dyDescent="0.35">
      <c r="A160" s="101">
        <v>44958</v>
      </c>
      <c r="B160" s="102">
        <v>13.279013337512399</v>
      </c>
      <c r="C160" s="102">
        <v>13.071</v>
      </c>
      <c r="D160" s="102">
        <v>4808.1400000000003</v>
      </c>
      <c r="E160" s="102">
        <v>22.950207638647392</v>
      </c>
      <c r="F160" s="102">
        <v>11.353126105999999</v>
      </c>
    </row>
    <row r="161" spans="1:6" ht="14.5" customHeight="1" x14ac:dyDescent="0.35">
      <c r="A161" s="101">
        <v>44986</v>
      </c>
      <c r="B161" s="102">
        <v>13.344330593537229</v>
      </c>
      <c r="C161" s="102">
        <v>13.007</v>
      </c>
      <c r="D161" s="102">
        <v>4627.2700000000004</v>
      </c>
      <c r="E161" s="102">
        <v>23.45477102037006</v>
      </c>
      <c r="F161" s="102">
        <v>10.032543955</v>
      </c>
    </row>
    <row r="162" spans="1:6" ht="14.5" customHeight="1" x14ac:dyDescent="0.35">
      <c r="A162" s="101">
        <v>45017</v>
      </c>
      <c r="B162" s="102">
        <v>12.82287174741008</v>
      </c>
      <c r="C162" s="102">
        <v>13.15</v>
      </c>
      <c r="D162" s="102">
        <v>4669</v>
      </c>
      <c r="E162" s="102">
        <v>17.717654118353021</v>
      </c>
      <c r="F162" s="102">
        <v>10.724700482999999</v>
      </c>
    </row>
    <row r="163" spans="1:6" ht="14.5" customHeight="1" x14ac:dyDescent="0.35">
      <c r="A163" s="101">
        <v>45047</v>
      </c>
      <c r="B163" s="102">
        <v>12.36025338147917</v>
      </c>
      <c r="C163" s="102">
        <v>13.239000000000001</v>
      </c>
      <c r="D163" s="102">
        <v>4408.6499999999996</v>
      </c>
      <c r="E163" s="102">
        <v>12.685758395231501</v>
      </c>
      <c r="F163" s="102">
        <v>10.475099999999999</v>
      </c>
    </row>
    <row r="164" spans="1:6" ht="14.5" customHeight="1" x14ac:dyDescent="0.35">
      <c r="A164" s="101">
        <v>45078</v>
      </c>
      <c r="B164" s="102">
        <v>12.12961506226844</v>
      </c>
      <c r="C164" s="102">
        <v>13.254</v>
      </c>
      <c r="D164" s="102">
        <v>4191.28</v>
      </c>
      <c r="E164" s="102">
        <v>1.545983374803428</v>
      </c>
      <c r="F164" s="102">
        <v>9.3423096210000001</v>
      </c>
    </row>
    <row r="165" spans="1:6" ht="14.5" customHeight="1" x14ac:dyDescent="0.35">
      <c r="A165" s="101">
        <v>45108</v>
      </c>
      <c r="B165" s="102">
        <v>11.78</v>
      </c>
      <c r="C165" s="102">
        <v>13.112</v>
      </c>
      <c r="D165" s="102">
        <v>3923.49</v>
      </c>
      <c r="E165" s="102">
        <v>-8.762411924749447</v>
      </c>
      <c r="F165" s="102">
        <v>9.5728505639999995</v>
      </c>
    </row>
    <row r="166" spans="1:6" ht="14.5" customHeight="1" x14ac:dyDescent="0.35">
      <c r="A166" s="101">
        <v>45139</v>
      </c>
      <c r="B166" s="102">
        <v>11.43</v>
      </c>
      <c r="C166" s="102">
        <v>13.111000000000001</v>
      </c>
      <c r="D166" s="102">
        <v>4085.33</v>
      </c>
      <c r="E166" s="102">
        <v>-7.1549670921057356</v>
      </c>
      <c r="F166" s="102">
        <v>9.2773719989999996</v>
      </c>
    </row>
    <row r="167" spans="1:6" ht="14.5" customHeight="1" x14ac:dyDescent="0.35">
      <c r="A167" s="101">
        <v>45170</v>
      </c>
      <c r="B167" s="102">
        <v>10.99</v>
      </c>
      <c r="C167" s="102">
        <v>13.085000000000001</v>
      </c>
      <c r="D167" s="102">
        <v>4053.76</v>
      </c>
      <c r="E167" s="102">
        <v>-10.55389700512127</v>
      </c>
      <c r="F167" s="102">
        <v>9.2526741799999996</v>
      </c>
    </row>
    <row r="168" spans="1:6" ht="14.5" customHeight="1" x14ac:dyDescent="0.35">
      <c r="A168" s="101">
        <v>45200</v>
      </c>
      <c r="B168" s="102">
        <v>10.48</v>
      </c>
      <c r="C168" s="102">
        <v>13.092000000000001</v>
      </c>
      <c r="D168" s="102">
        <v>4060.83</v>
      </c>
      <c r="E168" s="102">
        <v>-15.735030461993061</v>
      </c>
      <c r="F168" s="102">
        <v>9.2309123839999998</v>
      </c>
    </row>
    <row r="169" spans="1:6" ht="14.5" customHeight="1" x14ac:dyDescent="0.35">
      <c r="A169" s="101">
        <v>45231</v>
      </c>
      <c r="B169" s="102">
        <v>10.15</v>
      </c>
      <c r="C169" s="102">
        <v>12.916</v>
      </c>
      <c r="D169" s="102">
        <v>3980.67</v>
      </c>
      <c r="E169" s="102">
        <v>-17.233356412607531</v>
      </c>
      <c r="F169" s="102">
        <v>9.0073861569999991</v>
      </c>
    </row>
    <row r="170" spans="1:6" ht="14.5" customHeight="1" x14ac:dyDescent="0.35">
      <c r="A170" s="101">
        <v>45261</v>
      </c>
      <c r="B170" s="102">
        <v>9.2760550452018151</v>
      </c>
      <c r="C170" s="102">
        <v>12.714</v>
      </c>
      <c r="D170" s="102">
        <v>3822.05</v>
      </c>
      <c r="E170" s="102">
        <v>-20.542804872978252</v>
      </c>
      <c r="F170" s="102">
        <v>10.013717396181599</v>
      </c>
    </row>
    <row r="171" spans="1:6" ht="14.5" customHeight="1" x14ac:dyDescent="0.35">
      <c r="A171" s="101">
        <v>45292</v>
      </c>
      <c r="B171" s="102">
        <v>8.3465636999175743</v>
      </c>
      <c r="C171" s="102">
        <v>12.397</v>
      </c>
      <c r="D171" s="102">
        <v>3925.6</v>
      </c>
      <c r="E171" s="102">
        <v>-15.25409092871638</v>
      </c>
      <c r="F171" s="102">
        <v>12.661635826705909</v>
      </c>
    </row>
    <row r="172" spans="1:6" ht="14.5" customHeight="1" x14ac:dyDescent="0.35">
      <c r="A172" s="101">
        <v>45323</v>
      </c>
      <c r="B172" s="102">
        <v>7.7373806718130433</v>
      </c>
      <c r="C172" s="102">
        <v>12.226000000000001</v>
      </c>
      <c r="D172" s="102">
        <v>3933.56</v>
      </c>
      <c r="E172" s="102">
        <v>-18.18957018722417</v>
      </c>
      <c r="F172" s="102">
        <v>11.66614479206765</v>
      </c>
    </row>
    <row r="173" spans="1:6" ht="14.5" customHeight="1" x14ac:dyDescent="0.35">
      <c r="A173" s="101">
        <v>45352</v>
      </c>
      <c r="B173" s="102">
        <v>7.3626914348644767</v>
      </c>
      <c r="C173" s="102">
        <v>11.827999999999999</v>
      </c>
      <c r="D173" s="102">
        <v>3842.3</v>
      </c>
      <c r="E173" s="102">
        <v>-16.96399821060799</v>
      </c>
      <c r="F173" s="102">
        <v>11.28571949943578</v>
      </c>
    </row>
    <row r="174" spans="1:6" ht="14.5" customHeight="1" x14ac:dyDescent="0.35">
      <c r="A174" s="101">
        <v>45383</v>
      </c>
      <c r="B174" s="102">
        <v>7.163281126755483</v>
      </c>
      <c r="C174" s="102">
        <v>11.56</v>
      </c>
      <c r="D174" s="102">
        <v>3873.44</v>
      </c>
      <c r="E174" s="102">
        <v>-17.039194688370099</v>
      </c>
      <c r="F174" s="102">
        <v>10.646715730368969</v>
      </c>
    </row>
    <row r="175" spans="1:6" ht="14.5" customHeight="1" x14ac:dyDescent="0.35">
      <c r="A175" s="101">
        <v>45413</v>
      </c>
      <c r="B175" s="102">
        <v>7.1569275409043343</v>
      </c>
      <c r="C175" s="102">
        <v>11.167</v>
      </c>
      <c r="D175" s="102">
        <v>3874.32</v>
      </c>
      <c r="E175" s="102">
        <v>-12.12003674594262</v>
      </c>
      <c r="F175" s="102">
        <v>10.305870827614299</v>
      </c>
    </row>
    <row r="176" spans="1:6" ht="14.5" customHeight="1" x14ac:dyDescent="0.35">
      <c r="A176" s="101">
        <v>45444</v>
      </c>
      <c r="B176" s="102">
        <v>7.1824626350778464</v>
      </c>
      <c r="C176" s="102">
        <v>10.866</v>
      </c>
      <c r="D176" s="102">
        <v>4148.04</v>
      </c>
      <c r="E176" s="102">
        <v>-1.0316657441163499</v>
      </c>
      <c r="F176" s="102">
        <v>10.26859017146683</v>
      </c>
    </row>
    <row r="177" spans="1:6" ht="14.5" customHeight="1" x14ac:dyDescent="0.35">
      <c r="A177" s="101">
        <v>45474</v>
      </c>
      <c r="B177" s="102">
        <v>6.8600414451028602</v>
      </c>
      <c r="C177" s="102">
        <v>10.523999999999999</v>
      </c>
      <c r="D177" s="102">
        <v>4089.05</v>
      </c>
      <c r="E177" s="102">
        <v>4.2197125518352419</v>
      </c>
      <c r="F177" s="102">
        <v>9.9181446285116568</v>
      </c>
    </row>
    <row r="178" spans="1:6" ht="14.5" customHeight="1" x14ac:dyDescent="0.35">
      <c r="A178" s="101">
        <v>45505</v>
      </c>
      <c r="B178" s="102">
        <v>6.1204537923945654</v>
      </c>
      <c r="C178" s="102">
        <v>10.179</v>
      </c>
      <c r="D178" s="102">
        <v>4160.3100000000004</v>
      </c>
      <c r="E178" s="102">
        <v>1.83534745051197</v>
      </c>
      <c r="F178" s="102">
        <v>9.6626578419937097</v>
      </c>
    </row>
    <row r="179" spans="1:6" ht="14.5" customHeight="1" x14ac:dyDescent="0.35">
      <c r="A179" s="101">
        <v>45536</v>
      </c>
      <c r="B179" s="102">
        <v>5.8087765966825522</v>
      </c>
      <c r="C179" s="102">
        <v>9.7149999999999999</v>
      </c>
      <c r="D179" s="102">
        <v>4164.21</v>
      </c>
      <c r="E179" s="102">
        <v>2.7246309598989442</v>
      </c>
      <c r="F179" s="102">
        <v>9.1344769517755928</v>
      </c>
    </row>
    <row r="180" spans="1:6" ht="14.5" customHeight="1" x14ac:dyDescent="0.35">
      <c r="A180" s="101">
        <v>45566</v>
      </c>
      <c r="B180" s="102">
        <v>5.4061275728907843</v>
      </c>
      <c r="C180" s="102">
        <v>9.4469999999999992</v>
      </c>
      <c r="D180" s="102">
        <v>4413.46</v>
      </c>
      <c r="E180" s="102">
        <v>8.6836927426166675</v>
      </c>
      <c r="F180" s="102">
        <v>9.1337601500858749</v>
      </c>
    </row>
    <row r="181" spans="1:6" ht="14.5" customHeight="1" x14ac:dyDescent="0.35">
      <c r="A181" s="101">
        <v>45597</v>
      </c>
      <c r="B181" s="102">
        <v>5.1973577964305786</v>
      </c>
      <c r="C181" s="102">
        <v>9.25</v>
      </c>
      <c r="D181" s="102">
        <v>4419.59</v>
      </c>
      <c r="E181" s="102">
        <v>11.02628451994263</v>
      </c>
      <c r="F181" s="102">
        <v>8.1687634793625499</v>
      </c>
    </row>
    <row r="182" spans="1:6" ht="14.5" customHeight="1" x14ac:dyDescent="0.35">
      <c r="A182" s="101">
        <v>45627</v>
      </c>
      <c r="B182" s="102">
        <v>5.2030659303403448</v>
      </c>
      <c r="C182" s="102">
        <v>9.3960000000000008</v>
      </c>
      <c r="D182" s="102">
        <v>4409.1499999999996</v>
      </c>
      <c r="E182" s="102">
        <v>15.36</v>
      </c>
      <c r="F182" s="102">
        <v>9.1252953803636494</v>
      </c>
    </row>
    <row r="183" spans="1:6" ht="14.5" customHeight="1" x14ac:dyDescent="0.35">
      <c r="A183" s="101">
        <v>45658</v>
      </c>
      <c r="B183" s="102">
        <v>5.22298042310545</v>
      </c>
      <c r="C183" s="102">
        <v>9.2360000000000007</v>
      </c>
      <c r="D183" s="102">
        <v>4170.01</v>
      </c>
      <c r="E183" s="102">
        <v>6.2260546158549026</v>
      </c>
      <c r="F183" s="102">
        <v>11.636036642818439</v>
      </c>
    </row>
    <row r="184" spans="1:6" ht="14.5" customHeight="1" x14ac:dyDescent="0.35">
      <c r="A184" s="101">
        <v>45689</v>
      </c>
      <c r="B184" s="102">
        <v>5.2765843800580248</v>
      </c>
      <c r="C184" s="102">
        <v>9.2910000000000004</v>
      </c>
      <c r="D184" s="102">
        <v>4120.1099999999997</v>
      </c>
      <c r="E184" s="102">
        <v>4.7425233122158961</v>
      </c>
      <c r="F184" s="102">
        <v>10.33046346346282</v>
      </c>
    </row>
    <row r="185" spans="1:6" ht="14.5" customHeight="1" x14ac:dyDescent="0.35">
      <c r="A185" s="101">
        <v>45717</v>
      </c>
      <c r="B185" s="102">
        <v>5.08999660294156</v>
      </c>
      <c r="C185" s="102">
        <v>9.327</v>
      </c>
      <c r="D185" s="102">
        <v>4192.57</v>
      </c>
      <c r="E185" s="102">
        <v>9.1161543866954631</v>
      </c>
      <c r="F185" s="102">
        <v>9.6163686629637048</v>
      </c>
    </row>
    <row r="186" spans="1:6" ht="14.5" customHeight="1" x14ac:dyDescent="0.35">
      <c r="A186" s="101">
        <v>45748</v>
      </c>
      <c r="B186" s="102">
        <v>5.1622882865170583</v>
      </c>
      <c r="C186" s="102">
        <v>9.3940000000000001</v>
      </c>
      <c r="D186" s="102">
        <v>4198.83</v>
      </c>
      <c r="E186" s="102">
        <v>8.4005431864182754</v>
      </c>
      <c r="F186" s="102">
        <v>8.7825059385890309</v>
      </c>
    </row>
    <row r="187" spans="1:6" ht="14.5" customHeight="1" x14ac:dyDescent="0.35">
      <c r="A187" s="101">
        <v>45778</v>
      </c>
      <c r="B187" s="102">
        <v>5.0521050746840324</v>
      </c>
      <c r="C187" s="102">
        <v>9.1359999999999992</v>
      </c>
      <c r="D187" s="102">
        <v>4148.72</v>
      </c>
      <c r="E187" s="102">
        <v>7.0825331929216029</v>
      </c>
      <c r="F187" s="102">
        <v>9.0364158093294087</v>
      </c>
    </row>
    <row r="188" spans="1:6" ht="14.5" customHeight="1" x14ac:dyDescent="0.35">
      <c r="A188" s="101">
        <v>45809</v>
      </c>
      <c r="B188" s="102">
        <v>4.8200721707341909</v>
      </c>
      <c r="C188" s="102">
        <v>9.1069999999999993</v>
      </c>
      <c r="D188" s="102">
        <v>4069.67</v>
      </c>
      <c r="E188" s="102">
        <v>-1.889326043143269</v>
      </c>
      <c r="F188" s="102">
        <v>8.5540200861558695</v>
      </c>
    </row>
    <row r="189" spans="1:6" ht="14.5" customHeight="1" x14ac:dyDescent="0.35">
      <c r="A189" s="101">
        <v>45839</v>
      </c>
      <c r="B189" s="102">
        <v>4.9004634898229371</v>
      </c>
      <c r="C189" s="102">
        <v>9.0229999999999997</v>
      </c>
      <c r="D189" s="102">
        <v>4179.6899999999996</v>
      </c>
      <c r="E189" s="102">
        <v>2.2166517895354509</v>
      </c>
      <c r="F189" s="102">
        <v>8.8418118741921852</v>
      </c>
    </row>
    <row r="190" spans="1:6" ht="14.5" customHeight="1" x14ac:dyDescent="0.35">
      <c r="A190" s="101">
        <v>45870</v>
      </c>
      <c r="B190" s="102">
        <v>5.0955737641477317</v>
      </c>
      <c r="C190" s="102">
        <v>9.1809999999999992</v>
      </c>
      <c r="D190" s="102">
        <v>4018.41</v>
      </c>
      <c r="E190" s="102">
        <v>-3.410803521852956</v>
      </c>
      <c r="F190" s="102">
        <v>8.5984509167776952</v>
      </c>
    </row>
    <row r="191" spans="1:6" ht="14.5" customHeight="1" x14ac:dyDescent="0.35">
      <c r="A191" s="101">
        <v>45901</v>
      </c>
      <c r="B191" s="102">
        <v>5.1767404992538726</v>
      </c>
      <c r="C191" s="102">
        <v>9.2070000000000007</v>
      </c>
      <c r="D191" s="102">
        <v>3901.29</v>
      </c>
      <c r="E191" s="102">
        <v>-6.3138026180235904</v>
      </c>
      <c r="F191" s="102">
        <v>8.1734824737352785</v>
      </c>
    </row>
    <row r="192" spans="1:6" ht="14.5" customHeight="1" x14ac:dyDescent="0.35">
      <c r="A192" s="101">
        <v>45931</v>
      </c>
      <c r="B192" s="102">
        <v>5.5122302147269098</v>
      </c>
      <c r="C192" s="102">
        <v>9.2759999999999998</v>
      </c>
      <c r="D192" s="102">
        <v>3870.42</v>
      </c>
      <c r="E192" s="102">
        <v>-12.30417858097729</v>
      </c>
      <c r="F192" s="102">
        <v>8.2036728750044716</v>
      </c>
    </row>
    <row r="193" spans="1:6" ht="14.5" customHeight="1" x14ac:dyDescent="0.35">
      <c r="A193" s="101">
        <v>45962</v>
      </c>
      <c r="B193" s="102">
        <v>5.3010692833363793</v>
      </c>
      <c r="C193" s="102">
        <v>9.4670000000000005</v>
      </c>
      <c r="D193" s="102">
        <v>3744.43</v>
      </c>
      <c r="E193" s="102">
        <v>-15.276530175876051</v>
      </c>
      <c r="F193" s="102">
        <v>7.0248576645484269</v>
      </c>
    </row>
    <row r="194" spans="1:6" ht="14.5" customHeight="1" x14ac:dyDescent="0.35">
      <c r="A194" s="101">
        <v>45992</v>
      </c>
      <c r="B194" s="102">
        <v>5.0998843306039987</v>
      </c>
      <c r="C194" s="102">
        <v>9.8789999999999996</v>
      </c>
      <c r="D194" s="102">
        <v>3757.08</v>
      </c>
      <c r="E194" s="102">
        <v>-14.78901829150743</v>
      </c>
      <c r="F194" s="102">
        <v>7.9771036256359382</v>
      </c>
    </row>
    <row r="195" spans="1:6" ht="14.5" customHeight="1" x14ac:dyDescent="0.35">
      <c r="A195" s="101">
        <v>46023</v>
      </c>
      <c r="B195" s="102">
        <v>5.3536001715572157</v>
      </c>
      <c r="C195" s="102">
        <v>10.08</v>
      </c>
      <c r="D195" s="102">
        <v>3670.47</v>
      </c>
      <c r="E195" s="102">
        <v>-11.97934777134828</v>
      </c>
      <c r="F195" s="102">
        <v>10.85945281420206</v>
      </c>
    </row>
    <row r="196" spans="1:6" ht="14.5" customHeight="1" x14ac:dyDescent="0.35">
      <c r="A196" s="101">
        <v>46054</v>
      </c>
      <c r="B196" s="102">
        <v>5.2900378570263307</v>
      </c>
      <c r="C196" s="102">
        <v>11.14</v>
      </c>
      <c r="D196" s="102">
        <v>3766.3</v>
      </c>
      <c r="E196" s="102">
        <v>-8.5873920841919134</v>
      </c>
      <c r="F196" s="102">
        <v>9.234958425182727</v>
      </c>
    </row>
    <row r="197" spans="1:6" ht="14.5" customHeight="1" x14ac:dyDescent="0.35">
      <c r="A197" s="101">
        <v>46082</v>
      </c>
      <c r="B197" s="102">
        <v>5.5589039903634951</v>
      </c>
      <c r="C197" s="102">
        <v>11.654</v>
      </c>
      <c r="D197" s="102">
        <v>3669.96</v>
      </c>
      <c r="E197" s="102">
        <v>-12.46514667614375</v>
      </c>
      <c r="F197" s="102">
        <v>8.7933861147571992</v>
      </c>
    </row>
    <row r="198" spans="1:6" ht="14.5" customHeight="1" x14ac:dyDescent="0.35">
      <c r="A198" s="101">
        <v>46113</v>
      </c>
      <c r="B198" s="102">
        <v>5.6813168258595059</v>
      </c>
      <c r="C198" s="102">
        <v>12.121</v>
      </c>
      <c r="D198" s="102">
        <v>3621.86</v>
      </c>
      <c r="E198" s="102">
        <v>-13.741208860563541</v>
      </c>
      <c r="F198" s="102">
        <v>8.7814568020438806</v>
      </c>
    </row>
    <row r="199" spans="1:6" ht="14.5" customHeight="1" x14ac:dyDescent="0.35">
      <c r="A199" s="101">
        <v>46143</v>
      </c>
      <c r="B199" s="102">
        <v>5.8420822567643471</v>
      </c>
      <c r="C199" s="102">
        <v>11.909000000000001</v>
      </c>
      <c r="D199" s="102">
        <v>3678.15</v>
      </c>
      <c r="E199" s="102">
        <v>-11.34253456487785</v>
      </c>
      <c r="F199" s="102">
        <v>8.0206511267912095</v>
      </c>
    </row>
    <row r="200" spans="1:6" ht="14.5" customHeight="1" x14ac:dyDescent="0.35">
      <c r="A200" s="101">
        <v>46174</v>
      </c>
      <c r="B200" s="102"/>
      <c r="C200" s="102">
        <v>12.154</v>
      </c>
      <c r="D200" s="102">
        <v>3443.59</v>
      </c>
      <c r="E200" s="102">
        <v>-15.384048338071629</v>
      </c>
      <c r="F200" s="102"/>
    </row>
  </sheetData>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149"/>
  <sheetViews>
    <sheetView workbookViewId="0">
      <pane xSplit="1" ySplit="1" topLeftCell="B46" activePane="bottomRight" state="frozen"/>
      <selection activeCell="D201" sqref="D201"/>
      <selection pane="topRight" activeCell="D201" sqref="D201"/>
      <selection pane="bottomLeft" activeCell="D201" sqref="D201"/>
      <selection pane="bottomRight" activeCell="D201" sqref="D201"/>
    </sheetView>
  </sheetViews>
  <sheetFormatPr baseColWidth="10" defaultColWidth="11.453125" defaultRowHeight="14.5" x14ac:dyDescent="0.35"/>
  <cols>
    <col min="1" max="1" width="7.1796875" style="103" bestFit="1" customWidth="1"/>
    <col min="2" max="2" width="21.7265625" style="103" bestFit="1" customWidth="1"/>
    <col min="3" max="3" width="11.453125" style="103" customWidth="1"/>
    <col min="4" max="16384" width="11.453125" style="103"/>
  </cols>
  <sheetData>
    <row r="1" spans="1:2" x14ac:dyDescent="0.35">
      <c r="B1" s="1" t="s">
        <v>211</v>
      </c>
    </row>
    <row r="2" spans="1:2" x14ac:dyDescent="0.35">
      <c r="A2" s="101">
        <v>40148</v>
      </c>
      <c r="B2" s="102">
        <v>3.1355892217460481</v>
      </c>
    </row>
    <row r="3" spans="1:2" x14ac:dyDescent="0.35">
      <c r="A3" s="101">
        <v>40238</v>
      </c>
      <c r="B3" s="102">
        <v>3.8514486444096678</v>
      </c>
    </row>
    <row r="4" spans="1:2" x14ac:dyDescent="0.35">
      <c r="A4" s="101">
        <v>40330</v>
      </c>
      <c r="B4" s="102">
        <v>4.4313455167122724</v>
      </c>
    </row>
    <row r="5" spans="1:2" x14ac:dyDescent="0.35">
      <c r="A5" s="101">
        <v>40422</v>
      </c>
      <c r="B5" s="102">
        <v>4.1501714946981583</v>
      </c>
    </row>
    <row r="6" spans="1:2" x14ac:dyDescent="0.35">
      <c r="A6" s="101">
        <v>40513</v>
      </c>
      <c r="B6" s="102">
        <v>5.5242493764073579</v>
      </c>
    </row>
    <row r="7" spans="1:2" x14ac:dyDescent="0.35">
      <c r="A7" s="101">
        <v>40603</v>
      </c>
      <c r="B7" s="102">
        <v>6.7094683846178507</v>
      </c>
    </row>
    <row r="8" spans="1:2" x14ac:dyDescent="0.35">
      <c r="A8" s="101">
        <v>40695</v>
      </c>
      <c r="B8" s="102">
        <v>6.614969577314965</v>
      </c>
    </row>
    <row r="9" spans="1:2" x14ac:dyDescent="0.35">
      <c r="A9" s="101">
        <v>40787</v>
      </c>
      <c r="B9" s="102">
        <v>7.9945869703148356</v>
      </c>
    </row>
    <row r="10" spans="1:2" x14ac:dyDescent="0.35">
      <c r="A10" s="101">
        <v>40878</v>
      </c>
      <c r="B10" s="102">
        <v>6.4747344436907586</v>
      </c>
    </row>
    <row r="11" spans="1:2" x14ac:dyDescent="0.35">
      <c r="A11" s="101">
        <v>40969</v>
      </c>
      <c r="B11" s="104">
        <v>5.7888134353392076</v>
      </c>
    </row>
    <row r="12" spans="1:2" x14ac:dyDescent="0.35">
      <c r="A12" s="101">
        <v>41061</v>
      </c>
      <c r="B12" s="104">
        <v>4.849427933843236</v>
      </c>
    </row>
    <row r="13" spans="1:2" x14ac:dyDescent="0.35">
      <c r="A13" s="101">
        <v>41153</v>
      </c>
      <c r="B13" s="104">
        <v>2.25170943583618</v>
      </c>
    </row>
    <row r="14" spans="1:2" x14ac:dyDescent="0.35">
      <c r="A14" s="101">
        <v>41244</v>
      </c>
      <c r="B14" s="104">
        <v>2.850677462512202</v>
      </c>
    </row>
    <row r="15" spans="1:2" x14ac:dyDescent="0.35">
      <c r="A15" s="101">
        <v>41334</v>
      </c>
      <c r="B15" s="104">
        <v>2.626389552475636</v>
      </c>
    </row>
    <row r="16" spans="1:2" x14ac:dyDescent="0.35">
      <c r="A16" s="101">
        <v>41426</v>
      </c>
      <c r="B16" s="104">
        <v>5.3661771455070344</v>
      </c>
    </row>
    <row r="17" spans="1:2" x14ac:dyDescent="0.35">
      <c r="A17" s="101">
        <v>41518</v>
      </c>
      <c r="B17" s="104">
        <v>6.1585273650371546</v>
      </c>
    </row>
    <row r="18" spans="1:2" x14ac:dyDescent="0.35">
      <c r="A18" s="101">
        <v>41609</v>
      </c>
      <c r="B18" s="104">
        <v>6.3661504038753387</v>
      </c>
    </row>
    <row r="19" spans="1:2" x14ac:dyDescent="0.35">
      <c r="A19" s="101">
        <v>41699</v>
      </c>
      <c r="B19" s="104">
        <v>6.6302673884289787</v>
      </c>
    </row>
    <row r="20" spans="1:2" x14ac:dyDescent="0.35">
      <c r="A20" s="101">
        <v>41791</v>
      </c>
      <c r="B20" s="104">
        <v>3.445167048219862</v>
      </c>
    </row>
    <row r="21" spans="1:2" x14ac:dyDescent="0.35">
      <c r="A21" s="101">
        <v>41883</v>
      </c>
      <c r="B21" s="104">
        <v>4.2223818513670981</v>
      </c>
    </row>
    <row r="22" spans="1:2" x14ac:dyDescent="0.35">
      <c r="A22" s="101">
        <v>41974</v>
      </c>
      <c r="B22" s="104">
        <v>3.7786575245108649</v>
      </c>
    </row>
    <row r="23" spans="1:2" x14ac:dyDescent="0.35">
      <c r="A23" s="101">
        <v>42064</v>
      </c>
      <c r="B23" s="104">
        <v>2.8916831477254461</v>
      </c>
    </row>
    <row r="24" spans="1:2" x14ac:dyDescent="0.35">
      <c r="A24" s="101">
        <v>42156</v>
      </c>
      <c r="B24" s="104">
        <v>3.4308635518774828</v>
      </c>
    </row>
    <row r="25" spans="1:2" x14ac:dyDescent="0.35">
      <c r="A25" s="101">
        <v>42248</v>
      </c>
      <c r="B25" s="104">
        <v>3.4268322132057172</v>
      </c>
    </row>
    <row r="26" spans="1:2" x14ac:dyDescent="0.35">
      <c r="A26" s="101">
        <v>42339</v>
      </c>
      <c r="B26" s="104">
        <v>2.087217574267477</v>
      </c>
    </row>
    <row r="27" spans="1:2" x14ac:dyDescent="0.35">
      <c r="A27" s="101">
        <v>42430</v>
      </c>
      <c r="B27" s="104">
        <v>2.2943213782090832</v>
      </c>
    </row>
    <row r="28" spans="1:2" x14ac:dyDescent="0.35">
      <c r="A28" s="101">
        <v>42522</v>
      </c>
      <c r="B28" s="104">
        <v>2.2300295867214039</v>
      </c>
    </row>
    <row r="29" spans="1:2" x14ac:dyDescent="0.35">
      <c r="A29" s="101">
        <v>42614</v>
      </c>
      <c r="B29" s="104">
        <v>1.456245767735876</v>
      </c>
    </row>
    <row r="30" spans="1:2" x14ac:dyDescent="0.35">
      <c r="A30" s="101">
        <v>42705</v>
      </c>
      <c r="B30" s="104">
        <v>2.3746324743635201</v>
      </c>
    </row>
    <row r="31" spans="1:2" x14ac:dyDescent="0.35">
      <c r="A31" s="101">
        <v>42795</v>
      </c>
      <c r="B31" s="104">
        <v>1.4349453934603349</v>
      </c>
    </row>
    <row r="32" spans="1:2" x14ac:dyDescent="0.35">
      <c r="A32" s="101">
        <v>42887</v>
      </c>
      <c r="B32" s="104">
        <v>1.179303856472973</v>
      </c>
    </row>
    <row r="33" spans="1:2" x14ac:dyDescent="0.35">
      <c r="A33" s="101">
        <v>42979</v>
      </c>
      <c r="B33" s="104">
        <v>1.4880657889900839</v>
      </c>
    </row>
    <row r="34" spans="1:2" x14ac:dyDescent="0.35">
      <c r="A34" s="101">
        <v>43070</v>
      </c>
      <c r="B34" s="104">
        <v>1.335496096645606</v>
      </c>
    </row>
    <row r="35" spans="1:2" x14ac:dyDescent="0.35">
      <c r="A35" s="101">
        <v>43160</v>
      </c>
      <c r="B35" s="104">
        <v>1.7638253521519081</v>
      </c>
    </row>
    <row r="36" spans="1:2" x14ac:dyDescent="0.35">
      <c r="A36" s="101">
        <v>43252</v>
      </c>
      <c r="B36" s="104">
        <v>2.738084955034227</v>
      </c>
    </row>
    <row r="37" spans="1:2" x14ac:dyDescent="0.35">
      <c r="A37" s="101">
        <v>43344</v>
      </c>
      <c r="B37" s="104">
        <v>2.8054092424505321</v>
      </c>
    </row>
    <row r="38" spans="1:2" x14ac:dyDescent="0.35">
      <c r="A38" s="101">
        <v>43435</v>
      </c>
      <c r="B38" s="104">
        <v>2.9417456335650169</v>
      </c>
    </row>
    <row r="39" spans="1:2" x14ac:dyDescent="0.35">
      <c r="A39" s="101">
        <v>43525</v>
      </c>
      <c r="B39" s="104">
        <v>3.561300473010808</v>
      </c>
    </row>
    <row r="40" spans="1:2" x14ac:dyDescent="0.35">
      <c r="A40" s="101">
        <v>43617</v>
      </c>
      <c r="B40" s="104">
        <v>3.0258174312103892</v>
      </c>
    </row>
    <row r="41" spans="1:2" x14ac:dyDescent="0.35">
      <c r="A41" s="101">
        <v>43709</v>
      </c>
      <c r="B41" s="104">
        <v>3.043042089413984</v>
      </c>
    </row>
    <row r="42" spans="1:2" x14ac:dyDescent="0.35">
      <c r="A42" s="101">
        <v>43800</v>
      </c>
      <c r="B42" s="104">
        <v>3.1238719914075119</v>
      </c>
    </row>
    <row r="43" spans="1:2" x14ac:dyDescent="0.35">
      <c r="A43" s="101">
        <v>43891</v>
      </c>
      <c r="B43" s="104">
        <v>0.15828154275267581</v>
      </c>
    </row>
    <row r="44" spans="1:2" x14ac:dyDescent="0.35">
      <c r="A44" s="101">
        <v>43983</v>
      </c>
      <c r="B44" s="104">
        <v>-16.633239641745241</v>
      </c>
    </row>
    <row r="45" spans="1:2" x14ac:dyDescent="0.35">
      <c r="A45" s="101">
        <v>44075</v>
      </c>
      <c r="B45" s="104">
        <v>-9.0127633562567642</v>
      </c>
    </row>
    <row r="46" spans="1:2" x14ac:dyDescent="0.35">
      <c r="A46" s="101">
        <v>44166</v>
      </c>
      <c r="B46" s="104">
        <v>-3.2373512160736069</v>
      </c>
    </row>
    <row r="47" spans="1:2" x14ac:dyDescent="0.35">
      <c r="A47" s="101">
        <v>44256</v>
      </c>
      <c r="B47" s="104">
        <v>1.8519361600606159</v>
      </c>
    </row>
    <row r="48" spans="1:2" x14ac:dyDescent="0.35">
      <c r="A48" s="101">
        <v>44348</v>
      </c>
      <c r="B48" s="104">
        <v>18.429080884818539</v>
      </c>
    </row>
    <row r="49" spans="1:2" x14ac:dyDescent="0.35">
      <c r="A49" s="101">
        <v>44440</v>
      </c>
      <c r="B49" s="104">
        <v>13.37560031170325</v>
      </c>
    </row>
    <row r="50" spans="1:2" x14ac:dyDescent="0.35">
      <c r="A50" s="101">
        <v>44531</v>
      </c>
      <c r="B50" s="104">
        <v>10.97928327715924</v>
      </c>
    </row>
    <row r="51" spans="1:2" x14ac:dyDescent="0.35">
      <c r="A51" s="101">
        <v>44621</v>
      </c>
      <c r="B51" s="104">
        <v>7.9744849372897404</v>
      </c>
    </row>
    <row r="52" spans="1:2" x14ac:dyDescent="0.35">
      <c r="A52" s="101">
        <v>44713</v>
      </c>
      <c r="B52" s="104">
        <v>12.33215038188647</v>
      </c>
    </row>
    <row r="53" spans="1:2" x14ac:dyDescent="0.35">
      <c r="A53" s="101">
        <v>44805</v>
      </c>
      <c r="B53" s="104">
        <v>7.3443381307535009</v>
      </c>
    </row>
    <row r="54" spans="1:2" x14ac:dyDescent="0.35">
      <c r="A54" s="101">
        <v>44896</v>
      </c>
      <c r="B54" s="104">
        <v>2.1717172392027968</v>
      </c>
    </row>
    <row r="55" spans="1:2" x14ac:dyDescent="0.35">
      <c r="A55" s="101">
        <v>44986</v>
      </c>
      <c r="B55" s="104">
        <v>2.7093815589989729</v>
      </c>
    </row>
    <row r="56" spans="1:2" x14ac:dyDescent="0.35">
      <c r="A56" s="101">
        <v>45078</v>
      </c>
      <c r="B56" s="104">
        <v>0.41706209186568649</v>
      </c>
    </row>
    <row r="57" spans="1:2" x14ac:dyDescent="0.35">
      <c r="A57" s="101">
        <v>45170</v>
      </c>
      <c r="B57" s="104">
        <v>-0.39691174127164058</v>
      </c>
    </row>
    <row r="58" spans="1:2" x14ac:dyDescent="0.35">
      <c r="A58" s="101">
        <v>45261</v>
      </c>
      <c r="B58" s="104">
        <v>0.6718294828364515</v>
      </c>
    </row>
    <row r="59" spans="1:2" x14ac:dyDescent="0.35">
      <c r="A59" s="101">
        <v>45352</v>
      </c>
      <c r="B59" s="104">
        <v>-2.021204353945923E-2</v>
      </c>
    </row>
    <row r="60" spans="1:2" x14ac:dyDescent="0.35">
      <c r="A60" s="101">
        <v>45444</v>
      </c>
      <c r="B60" s="104">
        <v>1.7027690270906679</v>
      </c>
    </row>
    <row r="61" spans="1:2" x14ac:dyDescent="0.35">
      <c r="A61" s="101">
        <v>45536</v>
      </c>
      <c r="B61" s="104">
        <v>1.717078187218624</v>
      </c>
    </row>
    <row r="62" spans="1:2" x14ac:dyDescent="0.35">
      <c r="A62" s="101">
        <v>45627</v>
      </c>
      <c r="B62" s="104">
        <v>2.5804950972347021</v>
      </c>
    </row>
    <row r="63" spans="1:2" x14ac:dyDescent="0.35">
      <c r="A63" s="101">
        <v>45717</v>
      </c>
      <c r="B63" s="104">
        <v>2.7645388827899922</v>
      </c>
    </row>
    <row r="64" spans="1:2" x14ac:dyDescent="0.35">
      <c r="A64" s="101">
        <v>45809</v>
      </c>
      <c r="B64" s="104">
        <v>1.8291952993814751</v>
      </c>
    </row>
    <row r="65" spans="1:2" x14ac:dyDescent="0.35">
      <c r="A65" s="101">
        <v>45901</v>
      </c>
      <c r="B65" s="104">
        <v>3.6933131629942189</v>
      </c>
    </row>
    <row r="66" spans="1:2" x14ac:dyDescent="0.35">
      <c r="A66" s="101">
        <v>45992</v>
      </c>
      <c r="B66" s="104">
        <v>2.0056449690633018</v>
      </c>
    </row>
    <row r="67" spans="1:2" x14ac:dyDescent="0.35">
      <c r="A67" s="101">
        <v>46082</v>
      </c>
      <c r="B67" s="104">
        <v>2.173279370102382</v>
      </c>
    </row>
    <row r="144" spans="1:2" x14ac:dyDescent="0.35">
      <c r="A144" s="104"/>
      <c r="B144" s="104"/>
    </row>
    <row r="145" spans="1:2" x14ac:dyDescent="0.35">
      <c r="A145" s="104"/>
      <c r="B145" s="104"/>
    </row>
    <row r="146" spans="1:2" x14ac:dyDescent="0.35">
      <c r="A146" s="104"/>
      <c r="B146" s="104"/>
    </row>
    <row r="147" spans="1:2" x14ac:dyDescent="0.35">
      <c r="A147" s="104"/>
      <c r="B147" s="104"/>
    </row>
    <row r="148" spans="1:2" x14ac:dyDescent="0.35">
      <c r="A148" s="104"/>
      <c r="B148" s="104"/>
    </row>
    <row r="149" spans="1:2" x14ac:dyDescent="0.35">
      <c r="A149" s="104"/>
      <c r="B149" s="104"/>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332"/>
  <sheetViews>
    <sheetView zoomScaleNormal="100" workbookViewId="0">
      <selection activeCell="C34" sqref="C34"/>
    </sheetView>
  </sheetViews>
  <sheetFormatPr baseColWidth="10" defaultColWidth="11.453125" defaultRowHeight="15.75" customHeight="1" x14ac:dyDescent="0.3"/>
  <cols>
    <col min="1" max="1" width="13.54296875" style="111" customWidth="1"/>
    <col min="2" max="2" width="9.1796875" style="111" customWidth="1"/>
    <col min="3" max="3" width="10.54296875" style="111" customWidth="1"/>
    <col min="4" max="4" width="10.1796875" style="111" customWidth="1"/>
    <col min="5" max="6" width="9.1796875" style="111" customWidth="1"/>
    <col min="7" max="7" width="6.54296875" style="111" customWidth="1"/>
    <col min="8" max="8" width="11.453125" style="111" customWidth="1"/>
    <col min="9" max="16384" width="11.453125" style="111"/>
  </cols>
  <sheetData>
    <row r="1" spans="1:12" s="105" customFormat="1" ht="15.75" customHeight="1" x14ac:dyDescent="0.3"/>
    <row r="2" spans="1:12" s="105" customFormat="1" ht="15.75" customHeight="1" x14ac:dyDescent="0.3"/>
    <row r="3" spans="1:12" s="105" customFormat="1" ht="15.75" customHeight="1" x14ac:dyDescent="0.3"/>
    <row r="4" spans="1:12" s="105" customFormat="1" ht="15.75" customHeight="1" x14ac:dyDescent="0.3">
      <c r="B4" s="106"/>
      <c r="C4" s="106"/>
      <c r="D4" s="106"/>
      <c r="E4" s="129" t="s">
        <v>212</v>
      </c>
      <c r="F4" s="130"/>
      <c r="G4" s="130"/>
      <c r="H4" s="130"/>
      <c r="I4" s="130"/>
      <c r="J4" s="106"/>
      <c r="K4" s="106"/>
      <c r="L4" s="106"/>
    </row>
    <row r="5" spans="1:12" s="105" customFormat="1" ht="15.75" customHeight="1" x14ac:dyDescent="0.3">
      <c r="A5" s="132" t="s">
        <v>213</v>
      </c>
      <c r="B5" s="130"/>
      <c r="C5" s="130"/>
      <c r="D5" s="130"/>
      <c r="E5" s="130"/>
      <c r="F5" s="108"/>
      <c r="G5" s="108"/>
      <c r="H5" s="108" t="s">
        <v>214</v>
      </c>
      <c r="I5" s="108"/>
      <c r="J5" s="108"/>
      <c r="K5" s="108"/>
      <c r="L5" s="108"/>
    </row>
    <row r="6" spans="1:12" s="105" customFormat="1" ht="15.75" customHeight="1" x14ac:dyDescent="0.3">
      <c r="A6" s="131" t="s">
        <v>97</v>
      </c>
      <c r="B6" s="130"/>
      <c r="C6" s="130"/>
      <c r="D6" s="130"/>
      <c r="E6" s="130"/>
      <c r="F6" s="109"/>
      <c r="G6" s="109"/>
    </row>
    <row r="7" spans="1:12" s="105" customFormat="1" ht="15.75" customHeight="1" x14ac:dyDescent="0.3">
      <c r="A7" s="131" t="s">
        <v>215</v>
      </c>
      <c r="B7" s="130"/>
      <c r="C7" s="130"/>
      <c r="D7" s="130"/>
      <c r="E7" s="130"/>
      <c r="F7" s="109"/>
      <c r="G7" s="109"/>
    </row>
    <row r="8" spans="1:12" s="105" customFormat="1" ht="15.75" customHeight="1" thickBot="1" x14ac:dyDescent="0.35">
      <c r="A8" s="134" t="s">
        <v>216</v>
      </c>
      <c r="B8" s="135"/>
      <c r="C8" s="135"/>
      <c r="D8" s="135"/>
      <c r="E8" s="135"/>
      <c r="F8" s="110"/>
      <c r="G8" s="109"/>
    </row>
    <row r="9" spans="1:12" s="105" customFormat="1" ht="15.75" customHeight="1" x14ac:dyDescent="0.3">
      <c r="A9" s="107"/>
      <c r="B9" s="107"/>
      <c r="C9" s="107"/>
      <c r="D9" s="107"/>
      <c r="E9" s="107"/>
      <c r="F9" s="107"/>
      <c r="G9" s="107"/>
    </row>
    <row r="10" spans="1:12" s="105" customFormat="1" ht="15.75" customHeight="1" x14ac:dyDescent="0.3">
      <c r="A10" s="105" t="s">
        <v>217</v>
      </c>
      <c r="B10" s="111">
        <v>2022</v>
      </c>
      <c r="C10" s="105">
        <v>2023</v>
      </c>
      <c r="D10" s="105">
        <v>2024</v>
      </c>
      <c r="E10" s="105">
        <v>2025</v>
      </c>
      <c r="F10" s="105">
        <v>2026</v>
      </c>
    </row>
    <row r="11" spans="1:12" s="105" customFormat="1" ht="15.75" customHeight="1" x14ac:dyDescent="0.3">
      <c r="A11" s="112">
        <v>2</v>
      </c>
    </row>
    <row r="12" spans="1:12" s="105" customFormat="1" ht="15.75" customHeight="1" x14ac:dyDescent="0.3">
      <c r="A12" s="105" t="s">
        <v>218</v>
      </c>
      <c r="B12" s="113">
        <v>6.94</v>
      </c>
      <c r="C12" s="113">
        <v>13.25</v>
      </c>
      <c r="D12" s="113">
        <v>8.35</v>
      </c>
      <c r="E12" s="113">
        <v>5.22</v>
      </c>
      <c r="F12" s="113">
        <v>5.3536001715572157</v>
      </c>
      <c r="G12" s="113"/>
    </row>
    <row r="13" spans="1:12" s="105" customFormat="1" ht="15.75" customHeight="1" x14ac:dyDescent="0.3">
      <c r="A13" s="105" t="s">
        <v>219</v>
      </c>
      <c r="B13" s="113">
        <v>8.01</v>
      </c>
      <c r="C13" s="113">
        <v>13.28</v>
      </c>
      <c r="D13" s="113">
        <v>7.74</v>
      </c>
      <c r="E13" s="113">
        <v>5.28</v>
      </c>
      <c r="F13" s="113">
        <v>5.2900378570263307</v>
      </c>
      <c r="G13" s="113"/>
    </row>
    <row r="14" spans="1:12" s="105" customFormat="1" ht="15.75" customHeight="1" x14ac:dyDescent="0.3">
      <c r="A14" s="105" t="s">
        <v>220</v>
      </c>
      <c r="B14" s="113">
        <v>8.5299999999999994</v>
      </c>
      <c r="C14" s="113">
        <v>13.34</v>
      </c>
      <c r="D14" s="113">
        <v>7.36</v>
      </c>
      <c r="E14" s="113">
        <v>5.09</v>
      </c>
      <c r="F14" s="113">
        <v>5.5589039903634951</v>
      </c>
      <c r="G14" s="113"/>
    </row>
    <row r="15" spans="1:12" s="105" customFormat="1" ht="15.75" customHeight="1" x14ac:dyDescent="0.3">
      <c r="A15" s="105" t="s">
        <v>221</v>
      </c>
      <c r="B15" s="113">
        <v>9.23</v>
      </c>
      <c r="C15" s="113">
        <v>12.82</v>
      </c>
      <c r="D15" s="113">
        <v>7.16</v>
      </c>
      <c r="E15" s="113">
        <v>5.16</v>
      </c>
      <c r="F15" s="113">
        <v>5.6813168258595059</v>
      </c>
      <c r="G15" s="113"/>
    </row>
    <row r="16" spans="1:12" s="105" customFormat="1" ht="15.75" customHeight="1" x14ac:dyDescent="0.3">
      <c r="A16" s="105" t="s">
        <v>222</v>
      </c>
      <c r="B16" s="113">
        <v>9.07</v>
      </c>
      <c r="C16" s="113">
        <v>12.36</v>
      </c>
      <c r="D16" s="113">
        <v>7.16</v>
      </c>
      <c r="E16" s="113">
        <v>5.05</v>
      </c>
      <c r="F16" s="113">
        <v>5.8420822567643471</v>
      </c>
      <c r="G16" s="113"/>
    </row>
    <row r="17" spans="1:12" s="105" customFormat="1" ht="15.75" customHeight="1" x14ac:dyDescent="0.3">
      <c r="A17" s="105" t="s">
        <v>223</v>
      </c>
      <c r="B17" s="113">
        <v>9.67</v>
      </c>
      <c r="C17" s="113">
        <v>12.13</v>
      </c>
      <c r="D17" s="113">
        <v>7.18</v>
      </c>
      <c r="E17" s="113">
        <v>4.82</v>
      </c>
      <c r="F17" s="113" t="s">
        <v>161</v>
      </c>
      <c r="G17" s="113"/>
    </row>
    <row r="18" spans="1:12" s="105" customFormat="1" ht="15.75" customHeight="1" x14ac:dyDescent="0.3">
      <c r="A18" s="105" t="s">
        <v>224</v>
      </c>
      <c r="B18" s="113">
        <v>10.210000000000001</v>
      </c>
      <c r="C18" s="113">
        <v>11.78</v>
      </c>
      <c r="D18" s="113">
        <v>6.86</v>
      </c>
      <c r="E18" s="113">
        <v>4.9000000000000004</v>
      </c>
      <c r="F18" s="113" t="s">
        <v>161</v>
      </c>
      <c r="G18" s="113"/>
    </row>
    <row r="19" spans="1:12" s="105" customFormat="1" ht="15.75" customHeight="1" x14ac:dyDescent="0.3">
      <c r="A19" s="105" t="s">
        <v>225</v>
      </c>
      <c r="B19" s="113">
        <v>10.84</v>
      </c>
      <c r="C19" s="113">
        <v>11.43</v>
      </c>
      <c r="D19" s="113">
        <v>6.12</v>
      </c>
      <c r="E19" s="113">
        <v>5.0999999999999996</v>
      </c>
      <c r="F19" s="113" t="s">
        <v>161</v>
      </c>
      <c r="G19" s="113"/>
    </row>
    <row r="20" spans="1:12" s="105" customFormat="1" ht="15.75" customHeight="1" x14ac:dyDescent="0.3">
      <c r="A20" s="105" t="s">
        <v>226</v>
      </c>
      <c r="B20" s="113">
        <v>11.44</v>
      </c>
      <c r="C20" s="113">
        <v>10.99</v>
      </c>
      <c r="D20" s="113">
        <v>5.81</v>
      </c>
      <c r="E20" s="113">
        <v>5.18</v>
      </c>
      <c r="F20" s="113" t="s">
        <v>161</v>
      </c>
      <c r="G20" s="113"/>
    </row>
    <row r="21" spans="1:12" s="105" customFormat="1" ht="15.75" customHeight="1" x14ac:dyDescent="0.3">
      <c r="A21" s="105" t="s">
        <v>227</v>
      </c>
      <c r="B21" s="113">
        <v>12.22</v>
      </c>
      <c r="C21" s="113">
        <v>10.48</v>
      </c>
      <c r="D21" s="113">
        <v>5.41</v>
      </c>
      <c r="E21" s="113">
        <v>5.51</v>
      </c>
      <c r="F21" s="113" t="s">
        <v>161</v>
      </c>
      <c r="G21" s="113"/>
    </row>
    <row r="22" spans="1:12" s="105" customFormat="1" ht="15.75" customHeight="1" x14ac:dyDescent="0.3">
      <c r="A22" s="105" t="s">
        <v>228</v>
      </c>
      <c r="B22" s="113">
        <v>12.53</v>
      </c>
      <c r="C22" s="113">
        <v>10.15</v>
      </c>
      <c r="D22" s="113">
        <v>5.2</v>
      </c>
      <c r="E22" s="113">
        <v>5.3</v>
      </c>
      <c r="F22" s="113" t="s">
        <v>161</v>
      </c>
      <c r="G22" s="113"/>
    </row>
    <row r="23" spans="1:12" s="105" customFormat="1" ht="15.75" customHeight="1" x14ac:dyDescent="0.3">
      <c r="A23" s="105" t="s">
        <v>229</v>
      </c>
      <c r="B23" s="113">
        <v>13.12</v>
      </c>
      <c r="C23" s="113">
        <v>9.2799999999999994</v>
      </c>
      <c r="D23" s="113">
        <v>5.2</v>
      </c>
      <c r="E23" s="113">
        <v>5.0999999999999996</v>
      </c>
      <c r="F23" s="113"/>
      <c r="G23" s="113"/>
    </row>
    <row r="24" spans="1:12" s="105" customFormat="1" ht="15.75" customHeight="1" x14ac:dyDescent="0.3"/>
    <row r="25" spans="1:12" s="105" customFormat="1" ht="15.75" customHeight="1" thickBot="1" x14ac:dyDescent="0.35">
      <c r="A25" s="114" t="s">
        <v>230</v>
      </c>
      <c r="B25" s="114"/>
      <c r="C25" s="114"/>
      <c r="D25" s="114"/>
      <c r="E25" s="114"/>
      <c r="F25" s="114"/>
      <c r="G25" s="114"/>
      <c r="H25" s="114"/>
      <c r="I25" s="114"/>
      <c r="J25" s="114"/>
      <c r="K25" s="114"/>
      <c r="L25" s="114"/>
    </row>
    <row r="26" spans="1:12" s="105" customFormat="1" ht="15.75" customHeight="1" x14ac:dyDescent="0.3"/>
    <row r="27" spans="1:12" s="105" customFormat="1" ht="15.75" customHeight="1" x14ac:dyDescent="0.3">
      <c r="A27" s="132" t="s">
        <v>231</v>
      </c>
      <c r="B27" s="130"/>
      <c r="C27" s="130"/>
      <c r="D27" s="130"/>
      <c r="E27" s="130"/>
      <c r="F27" s="108"/>
      <c r="G27" s="108"/>
      <c r="H27" s="108" t="s">
        <v>232</v>
      </c>
      <c r="I27" s="108"/>
      <c r="J27" s="108"/>
      <c r="K27" s="108"/>
      <c r="L27" s="108"/>
    </row>
    <row r="28" spans="1:12" s="105" customFormat="1" ht="15.75" customHeight="1" x14ac:dyDescent="0.3">
      <c r="A28" s="133" t="s">
        <v>233</v>
      </c>
      <c r="B28" s="130"/>
      <c r="C28" s="130"/>
      <c r="D28" s="130"/>
      <c r="E28" s="130"/>
      <c r="F28" s="130"/>
      <c r="G28" s="109"/>
    </row>
    <row r="29" spans="1:12" s="105" customFormat="1" ht="15.75" customHeight="1" x14ac:dyDescent="0.3">
      <c r="A29" s="133" t="s">
        <v>234</v>
      </c>
      <c r="B29" s="130"/>
      <c r="C29" s="130"/>
      <c r="D29" s="130"/>
      <c r="E29" s="130"/>
      <c r="F29" s="109"/>
      <c r="G29" s="109"/>
    </row>
    <row r="30" spans="1:12" s="105" customFormat="1" ht="15.75" customHeight="1" thickBot="1" x14ac:dyDescent="0.35">
      <c r="A30" s="134" t="s">
        <v>216</v>
      </c>
      <c r="B30" s="135"/>
      <c r="C30" s="135"/>
      <c r="D30" s="135"/>
      <c r="E30" s="135"/>
      <c r="F30" s="110"/>
      <c r="G30" s="109"/>
    </row>
    <row r="31" spans="1:12" s="105" customFormat="1" ht="15.75" customHeight="1" x14ac:dyDescent="0.3"/>
    <row r="32" spans="1:12" s="105" customFormat="1" ht="15.75" customHeight="1" x14ac:dyDescent="0.3">
      <c r="A32" s="105" t="s">
        <v>217</v>
      </c>
      <c r="B32" s="105">
        <v>2022</v>
      </c>
      <c r="C32" s="105">
        <v>2023</v>
      </c>
      <c r="D32" s="105">
        <v>2024</v>
      </c>
      <c r="E32" s="105">
        <v>2025</v>
      </c>
      <c r="F32" s="105">
        <v>2026</v>
      </c>
    </row>
    <row r="33" spans="1:12" s="105" customFormat="1" ht="15.75" customHeight="1" x14ac:dyDescent="0.3">
      <c r="A33" s="112">
        <v>3</v>
      </c>
    </row>
    <row r="34" spans="1:12" s="105" customFormat="1" ht="15.75" customHeight="1" x14ac:dyDescent="0.3">
      <c r="A34" s="105" t="s">
        <v>218</v>
      </c>
      <c r="B34" s="113">
        <v>4.37</v>
      </c>
      <c r="C34" s="113">
        <v>12.83</v>
      </c>
      <c r="D34" s="113">
        <v>12.4</v>
      </c>
      <c r="E34" s="113">
        <v>9.24</v>
      </c>
      <c r="F34" s="113">
        <v>10.08</v>
      </c>
      <c r="G34" s="113"/>
    </row>
    <row r="35" spans="1:12" s="105" customFormat="1" ht="15.75" customHeight="1" x14ac:dyDescent="0.3">
      <c r="A35" s="105" t="s">
        <v>219</v>
      </c>
      <c r="B35" s="113">
        <v>5.26</v>
      </c>
      <c r="C35" s="113">
        <v>13.07</v>
      </c>
      <c r="D35" s="113">
        <v>12.23</v>
      </c>
      <c r="E35" s="113">
        <v>9.2899999999999991</v>
      </c>
      <c r="F35" s="113">
        <v>11.14</v>
      </c>
      <c r="G35" s="113"/>
    </row>
    <row r="36" spans="1:12" s="105" customFormat="1" ht="15.75" customHeight="1" x14ac:dyDescent="0.3">
      <c r="A36" s="105" t="s">
        <v>220</v>
      </c>
      <c r="B36" s="113">
        <v>6.35</v>
      </c>
      <c r="C36" s="113">
        <v>13.01</v>
      </c>
      <c r="D36" s="113">
        <v>11.83</v>
      </c>
      <c r="E36" s="113">
        <v>9.33</v>
      </c>
      <c r="F36" s="113">
        <v>11.65</v>
      </c>
      <c r="G36" s="113"/>
    </row>
    <row r="37" spans="1:12" s="105" customFormat="1" ht="15.75" customHeight="1" x14ac:dyDescent="0.3">
      <c r="A37" s="105" t="s">
        <v>221</v>
      </c>
      <c r="B37" s="113">
        <v>6.46</v>
      </c>
      <c r="C37" s="113">
        <v>13.15</v>
      </c>
      <c r="D37" s="113">
        <v>11.56</v>
      </c>
      <c r="E37" s="113">
        <v>9.39</v>
      </c>
      <c r="F37" s="113">
        <v>12.121</v>
      </c>
      <c r="G37" s="113"/>
    </row>
    <row r="38" spans="1:12" s="105" customFormat="1" ht="15.75" customHeight="1" x14ac:dyDescent="0.3">
      <c r="A38" s="105" t="s">
        <v>222</v>
      </c>
      <c r="B38" s="113">
        <v>7.23</v>
      </c>
      <c r="C38" s="113">
        <v>13.24</v>
      </c>
      <c r="D38" s="113">
        <v>11.17</v>
      </c>
      <c r="E38" s="113">
        <v>9.14</v>
      </c>
      <c r="F38" s="113">
        <v>11.909000000000001</v>
      </c>
      <c r="G38" s="113"/>
    </row>
    <row r="39" spans="1:12" s="105" customFormat="1" ht="15.75" customHeight="1" x14ac:dyDescent="0.3">
      <c r="A39" s="105" t="s">
        <v>223</v>
      </c>
      <c r="B39" s="113">
        <v>8.33</v>
      </c>
      <c r="C39" s="113">
        <v>13.25</v>
      </c>
      <c r="D39" s="113">
        <v>10.87</v>
      </c>
      <c r="E39" s="113">
        <v>9.11</v>
      </c>
      <c r="F39" s="113">
        <v>12.154</v>
      </c>
      <c r="G39" s="113"/>
    </row>
    <row r="40" spans="1:12" s="105" customFormat="1" ht="15.75" customHeight="1" x14ac:dyDescent="0.3">
      <c r="A40" s="105" t="s">
        <v>224</v>
      </c>
      <c r="B40" s="113">
        <v>9.2799999999999994</v>
      </c>
      <c r="C40" s="113">
        <v>13.11</v>
      </c>
      <c r="D40" s="113">
        <v>10.52</v>
      </c>
      <c r="E40" s="113">
        <v>9.02</v>
      </c>
      <c r="F40" s="113" t="s">
        <v>161</v>
      </c>
      <c r="G40" s="113"/>
    </row>
    <row r="41" spans="1:12" s="105" customFormat="1" ht="15.75" customHeight="1" x14ac:dyDescent="0.3">
      <c r="A41" s="105" t="s">
        <v>225</v>
      </c>
      <c r="B41" s="113">
        <v>9.98</v>
      </c>
      <c r="C41" s="113">
        <v>13.11</v>
      </c>
      <c r="D41" s="113">
        <v>10.18</v>
      </c>
      <c r="E41" s="113">
        <v>9.18</v>
      </c>
      <c r="F41" s="113" t="s">
        <v>161</v>
      </c>
      <c r="G41" s="113"/>
    </row>
    <row r="42" spans="1:12" s="105" customFormat="1" ht="15.75" customHeight="1" x14ac:dyDescent="0.3">
      <c r="A42" s="105" t="s">
        <v>226</v>
      </c>
      <c r="B42" s="113">
        <v>10.71</v>
      </c>
      <c r="C42" s="113">
        <v>13.09</v>
      </c>
      <c r="D42" s="113">
        <v>9.7200000000000006</v>
      </c>
      <c r="E42" s="113">
        <v>9.2100000000000009</v>
      </c>
      <c r="F42" s="113" t="s">
        <v>161</v>
      </c>
      <c r="G42" s="113"/>
    </row>
    <row r="43" spans="1:12" s="105" customFormat="1" ht="15.75" customHeight="1" x14ac:dyDescent="0.3">
      <c r="A43" s="105" t="s">
        <v>227</v>
      </c>
      <c r="B43" s="113">
        <v>11.45</v>
      </c>
      <c r="C43" s="113">
        <v>13.09</v>
      </c>
      <c r="D43" s="113">
        <v>9.4499999999999993</v>
      </c>
      <c r="E43" s="113">
        <v>9.2799999999999994</v>
      </c>
      <c r="F43" s="113" t="s">
        <v>161</v>
      </c>
      <c r="G43" s="113"/>
    </row>
    <row r="44" spans="1:12" s="105" customFormat="1" ht="15.75" customHeight="1" x14ac:dyDescent="0.3">
      <c r="A44" s="105" t="s">
        <v>228</v>
      </c>
      <c r="B44" s="113">
        <v>11.72</v>
      </c>
      <c r="C44" s="113">
        <v>12.92</v>
      </c>
      <c r="D44" s="113">
        <v>9.25</v>
      </c>
      <c r="E44" s="113">
        <v>9.4700000000000006</v>
      </c>
      <c r="F44" s="113" t="s">
        <v>161</v>
      </c>
      <c r="G44" s="113"/>
    </row>
    <row r="45" spans="1:12" s="105" customFormat="1" ht="15.75" customHeight="1" x14ac:dyDescent="0.3">
      <c r="A45" s="105" t="s">
        <v>229</v>
      </c>
      <c r="B45" s="113">
        <v>12.36</v>
      </c>
      <c r="C45" s="113">
        <v>12.71</v>
      </c>
      <c r="D45" s="113">
        <v>9.4</v>
      </c>
      <c r="E45" s="113">
        <v>9.8800000000000008</v>
      </c>
      <c r="F45" s="113" t="s">
        <v>161</v>
      </c>
      <c r="G45" s="113"/>
    </row>
    <row r="46" spans="1:12" s="105" customFormat="1" ht="15.75" customHeight="1" x14ac:dyDescent="0.3">
      <c r="A46" s="111"/>
      <c r="B46" s="115"/>
      <c r="C46" s="115"/>
      <c r="D46" s="115"/>
      <c r="E46" s="115"/>
      <c r="F46" s="111"/>
      <c r="G46" s="115"/>
      <c r="H46" s="111"/>
      <c r="I46" s="111"/>
      <c r="J46" s="111"/>
      <c r="K46" s="111"/>
      <c r="L46" s="111"/>
    </row>
    <row r="47" spans="1:12" s="105" customFormat="1" ht="15.75" customHeight="1" thickBot="1" x14ac:dyDescent="0.35">
      <c r="A47" s="116" t="s">
        <v>235</v>
      </c>
      <c r="B47" s="117"/>
      <c r="C47" s="117"/>
      <c r="D47" s="117"/>
      <c r="E47" s="117"/>
      <c r="F47" s="116"/>
      <c r="G47" s="117"/>
      <c r="H47" s="116"/>
      <c r="I47" s="116"/>
      <c r="J47" s="116"/>
      <c r="K47" s="116"/>
      <c r="L47" s="116"/>
    </row>
    <row r="48" spans="1:12" s="105" customFormat="1" ht="15.75" customHeight="1" x14ac:dyDescent="0.3">
      <c r="B48" s="113"/>
      <c r="C48" s="113"/>
      <c r="D48" s="113"/>
      <c r="E48" s="113"/>
      <c r="G48" s="113"/>
      <c r="H48" s="105" t="s">
        <v>205</v>
      </c>
    </row>
    <row r="49" spans="1:12" s="105" customFormat="1" ht="15.75" customHeight="1" x14ac:dyDescent="0.3">
      <c r="A49" s="132" t="s">
        <v>236</v>
      </c>
      <c r="B49" s="130"/>
      <c r="C49" s="130"/>
      <c r="D49" s="130"/>
      <c r="E49" s="130"/>
      <c r="F49" s="108"/>
      <c r="G49" s="108"/>
      <c r="H49" s="108" t="s">
        <v>237</v>
      </c>
      <c r="I49" s="108"/>
      <c r="J49" s="108"/>
      <c r="K49" s="108"/>
      <c r="L49" s="108"/>
    </row>
    <row r="50" spans="1:12" s="105" customFormat="1" ht="15.75" customHeight="1" x14ac:dyDescent="0.3">
      <c r="A50" s="131" t="s">
        <v>238</v>
      </c>
      <c r="B50" s="130"/>
      <c r="C50" s="130"/>
      <c r="D50" s="130"/>
      <c r="E50" s="130"/>
      <c r="F50" s="109"/>
      <c r="G50" s="109"/>
    </row>
    <row r="51" spans="1:12" s="105" customFormat="1" ht="15.75" customHeight="1" x14ac:dyDescent="0.3">
      <c r="A51" s="131" t="s">
        <v>239</v>
      </c>
      <c r="B51" s="130"/>
      <c r="C51" s="130"/>
      <c r="D51" s="130"/>
      <c r="E51" s="130"/>
      <c r="F51" s="109"/>
      <c r="G51" s="109"/>
    </row>
    <row r="52" spans="1:12" s="105" customFormat="1" ht="15.75" customHeight="1" thickBot="1" x14ac:dyDescent="0.35">
      <c r="A52" s="136" t="s">
        <v>240</v>
      </c>
      <c r="B52" s="135"/>
      <c r="C52" s="135"/>
      <c r="D52" s="135"/>
      <c r="E52" s="135"/>
      <c r="F52" s="118"/>
      <c r="G52" s="107"/>
      <c r="H52" s="133"/>
      <c r="I52" s="130"/>
      <c r="J52" s="130"/>
      <c r="K52" s="130"/>
      <c r="L52" s="130"/>
    </row>
    <row r="53" spans="1:12" s="105" customFormat="1" ht="15.75" customHeight="1" x14ac:dyDescent="0.3"/>
    <row r="54" spans="1:12" s="105" customFormat="1" ht="15.75" customHeight="1" x14ac:dyDescent="0.3">
      <c r="A54" s="105" t="s">
        <v>217</v>
      </c>
      <c r="B54" s="105">
        <v>2022</v>
      </c>
      <c r="C54" s="105">
        <v>2023</v>
      </c>
      <c r="D54" s="105">
        <v>2024</v>
      </c>
      <c r="E54" s="105">
        <v>2025</v>
      </c>
      <c r="F54" s="105">
        <v>2026</v>
      </c>
    </row>
    <row r="55" spans="1:12" s="105" customFormat="1" ht="15.75" customHeight="1" x14ac:dyDescent="0.3">
      <c r="A55" s="112">
        <v>4</v>
      </c>
    </row>
    <row r="56" spans="1:12" s="105" customFormat="1" ht="15.75" customHeight="1" x14ac:dyDescent="0.3">
      <c r="A56" s="105" t="s">
        <v>218</v>
      </c>
      <c r="B56" s="97">
        <v>3982.6</v>
      </c>
      <c r="C56" s="97">
        <v>4632.2</v>
      </c>
      <c r="D56" s="97">
        <v>3925.6</v>
      </c>
      <c r="E56" s="97">
        <v>4170.01</v>
      </c>
      <c r="F56" s="97">
        <v>3670.47</v>
      </c>
      <c r="G56" s="113"/>
      <c r="H56" s="137"/>
      <c r="I56" s="130"/>
      <c r="J56" s="130"/>
      <c r="K56" s="130"/>
      <c r="L56" s="130"/>
    </row>
    <row r="57" spans="1:12" s="105" customFormat="1" ht="15.75" customHeight="1" x14ac:dyDescent="0.3">
      <c r="A57" s="105" t="s">
        <v>219</v>
      </c>
      <c r="B57" s="97">
        <v>3910.64</v>
      </c>
      <c r="C57" s="97">
        <v>4808.1400000000003</v>
      </c>
      <c r="D57" s="97">
        <v>3933.56</v>
      </c>
      <c r="E57" s="97">
        <v>4120.1099999999997</v>
      </c>
      <c r="F57" s="97">
        <v>3766.3</v>
      </c>
      <c r="G57" s="113"/>
    </row>
    <row r="58" spans="1:12" s="105" customFormat="1" ht="15.75" customHeight="1" x14ac:dyDescent="0.3">
      <c r="A58" s="105" t="s">
        <v>220</v>
      </c>
      <c r="B58" s="97">
        <v>3748.15</v>
      </c>
      <c r="C58" s="97">
        <v>4627.2700000000004</v>
      </c>
      <c r="D58" s="97">
        <v>3842.3</v>
      </c>
      <c r="E58" s="97">
        <v>4192.57</v>
      </c>
      <c r="F58" s="97">
        <v>3669.96</v>
      </c>
      <c r="G58" s="113"/>
    </row>
    <row r="59" spans="1:12" s="105" customFormat="1" ht="15.75" customHeight="1" x14ac:dyDescent="0.3">
      <c r="A59" s="105" t="s">
        <v>221</v>
      </c>
      <c r="B59" s="97">
        <v>3966.27</v>
      </c>
      <c r="C59" s="97">
        <v>4669</v>
      </c>
      <c r="D59" s="97">
        <v>3873.44</v>
      </c>
      <c r="E59" s="97">
        <v>4198.83</v>
      </c>
      <c r="F59" s="97">
        <v>3621.86</v>
      </c>
      <c r="G59" s="113"/>
    </row>
    <row r="60" spans="1:12" s="105" customFormat="1" ht="15.75" customHeight="1" x14ac:dyDescent="0.3">
      <c r="A60" s="105" t="s">
        <v>222</v>
      </c>
      <c r="B60" s="97">
        <v>3912.34</v>
      </c>
      <c r="C60" s="97">
        <v>4408.6499999999996</v>
      </c>
      <c r="D60" s="97">
        <v>3874.32</v>
      </c>
      <c r="E60" s="97">
        <v>4148.72</v>
      </c>
      <c r="F60" s="97">
        <v>3678.15</v>
      </c>
      <c r="G60" s="113"/>
    </row>
    <row r="61" spans="1:12" s="105" customFormat="1" ht="15.75" customHeight="1" x14ac:dyDescent="0.3">
      <c r="A61" s="105" t="s">
        <v>223</v>
      </c>
      <c r="B61" s="97">
        <v>4127.47</v>
      </c>
      <c r="C61" s="97">
        <v>4191.28</v>
      </c>
      <c r="D61" s="97">
        <v>4148.04</v>
      </c>
      <c r="E61" s="97">
        <v>4069.67</v>
      </c>
      <c r="F61" s="97">
        <v>3443.59</v>
      </c>
      <c r="G61" s="113"/>
    </row>
    <row r="62" spans="1:12" s="105" customFormat="1" ht="15.75" customHeight="1" x14ac:dyDescent="0.3">
      <c r="A62" s="105" t="s">
        <v>224</v>
      </c>
      <c r="B62" s="97">
        <v>4300.3</v>
      </c>
      <c r="C62" s="97">
        <v>3923.49</v>
      </c>
      <c r="D62" s="97">
        <v>4089.05</v>
      </c>
      <c r="E62" s="97">
        <v>4179.6899999999996</v>
      </c>
      <c r="F62" s="97" t="s">
        <v>161</v>
      </c>
      <c r="G62" s="113"/>
    </row>
    <row r="63" spans="1:12" s="105" customFormat="1" ht="15.75" customHeight="1" x14ac:dyDescent="0.3">
      <c r="A63" s="105" t="s">
        <v>225</v>
      </c>
      <c r="B63" s="97">
        <v>4400.16</v>
      </c>
      <c r="C63" s="97">
        <v>4085.33</v>
      </c>
      <c r="D63" s="97">
        <v>4160.3100000000004</v>
      </c>
      <c r="E63" s="97">
        <v>4018.41</v>
      </c>
      <c r="F63" s="97" t="s">
        <v>161</v>
      </c>
      <c r="G63" s="113"/>
    </row>
    <row r="64" spans="1:12" s="105" customFormat="1" ht="15.75" customHeight="1" x14ac:dyDescent="0.3">
      <c r="A64" s="105" t="s">
        <v>226</v>
      </c>
      <c r="B64" s="97">
        <v>4532.07</v>
      </c>
      <c r="C64" s="97">
        <v>4053.76</v>
      </c>
      <c r="D64" s="97">
        <v>4164.21</v>
      </c>
      <c r="E64" s="97">
        <v>3901.29</v>
      </c>
      <c r="F64" s="97" t="s">
        <v>161</v>
      </c>
      <c r="G64" s="113"/>
    </row>
    <row r="65" spans="1:12" s="105" customFormat="1" ht="15.75" customHeight="1" x14ac:dyDescent="0.3">
      <c r="A65" s="105" t="s">
        <v>227</v>
      </c>
      <c r="B65" s="97">
        <v>4819.12</v>
      </c>
      <c r="C65" s="97">
        <v>4060.83</v>
      </c>
      <c r="D65" s="97">
        <v>4413.46</v>
      </c>
      <c r="E65" s="97">
        <v>3870.42</v>
      </c>
      <c r="F65" s="97" t="s">
        <v>161</v>
      </c>
      <c r="G65" s="113"/>
    </row>
    <row r="66" spans="1:12" s="105" customFormat="1" ht="15.75" customHeight="1" x14ac:dyDescent="0.3">
      <c r="A66" s="105" t="s">
        <v>228</v>
      </c>
      <c r="B66" s="97">
        <v>4809.51</v>
      </c>
      <c r="C66" s="97">
        <v>3980.67</v>
      </c>
      <c r="D66" s="97">
        <v>4419.59</v>
      </c>
      <c r="E66" s="97">
        <v>3744.43</v>
      </c>
      <c r="F66" s="97" t="s">
        <v>161</v>
      </c>
      <c r="G66" s="113"/>
    </row>
    <row r="67" spans="1:12" s="105" customFormat="1" ht="15.75" customHeight="1" x14ac:dyDescent="0.3">
      <c r="A67" s="105" t="s">
        <v>229</v>
      </c>
      <c r="B67" s="97">
        <v>4810.2</v>
      </c>
      <c r="C67" s="97">
        <v>3822.05</v>
      </c>
      <c r="D67" s="97">
        <v>4409.1499999999996</v>
      </c>
      <c r="E67" s="97">
        <v>3757.08</v>
      </c>
      <c r="F67" s="97" t="s">
        <v>161</v>
      </c>
      <c r="G67" s="113"/>
    </row>
    <row r="68" spans="1:12" s="105" customFormat="1" ht="15.75" customHeight="1" x14ac:dyDescent="0.3">
      <c r="B68" s="113"/>
      <c r="C68" s="113"/>
    </row>
    <row r="69" spans="1:12" s="105" customFormat="1" ht="15.75" customHeight="1" thickBot="1" x14ac:dyDescent="0.35">
      <c r="A69" s="114" t="s">
        <v>241</v>
      </c>
      <c r="B69" s="114"/>
      <c r="C69" s="119"/>
      <c r="D69" s="119"/>
      <c r="E69" s="114"/>
      <c r="F69" s="114"/>
      <c r="G69" s="114"/>
      <c r="H69" s="114"/>
      <c r="I69" s="114"/>
      <c r="J69" s="114"/>
      <c r="K69" s="114"/>
      <c r="L69" s="114"/>
    </row>
    <row r="70" spans="1:12" s="105" customFormat="1" ht="15.75" customHeight="1" x14ac:dyDescent="0.3">
      <c r="C70" s="113"/>
      <c r="D70" s="113"/>
    </row>
    <row r="71" spans="1:12" s="105" customFormat="1" ht="15.75" customHeight="1" x14ac:dyDescent="0.3">
      <c r="A71" s="132" t="s">
        <v>242</v>
      </c>
      <c r="B71" s="130"/>
      <c r="C71" s="130"/>
      <c r="D71" s="130"/>
      <c r="E71" s="130"/>
      <c r="F71" s="108"/>
      <c r="G71" s="108"/>
      <c r="H71" s="108" t="s">
        <v>243</v>
      </c>
      <c r="I71" s="108"/>
      <c r="J71" s="108"/>
      <c r="K71" s="108"/>
      <c r="L71" s="108"/>
    </row>
    <row r="72" spans="1:12" s="105" customFormat="1" ht="15.75" customHeight="1" x14ac:dyDescent="0.3">
      <c r="A72" s="131" t="s">
        <v>244</v>
      </c>
      <c r="B72" s="130"/>
      <c r="C72" s="130"/>
      <c r="D72" s="130"/>
      <c r="E72" s="130"/>
      <c r="F72" s="109"/>
      <c r="G72" s="109"/>
    </row>
    <row r="73" spans="1:12" s="105" customFormat="1" ht="15.75" customHeight="1" thickBot="1" x14ac:dyDescent="0.35">
      <c r="A73" s="138" t="s">
        <v>216</v>
      </c>
      <c r="B73" s="135"/>
      <c r="C73" s="135"/>
      <c r="D73" s="135"/>
      <c r="E73" s="135"/>
      <c r="F73" s="118"/>
      <c r="G73" s="107"/>
    </row>
    <row r="74" spans="1:12" s="105" customFormat="1" ht="15.75" customHeight="1" x14ac:dyDescent="0.3">
      <c r="A74" s="105" t="s">
        <v>217</v>
      </c>
      <c r="B74" s="105">
        <v>2022</v>
      </c>
      <c r="C74" s="105">
        <v>2023</v>
      </c>
      <c r="D74" s="105">
        <v>2024</v>
      </c>
      <c r="E74" s="105">
        <v>2025</v>
      </c>
      <c r="F74" s="105">
        <v>2026</v>
      </c>
    </row>
    <row r="75" spans="1:12" s="105" customFormat="1" ht="15.75" customHeight="1" x14ac:dyDescent="0.3">
      <c r="A75" s="112">
        <v>5</v>
      </c>
    </row>
    <row r="76" spans="1:12" s="105" customFormat="1" ht="15.75" customHeight="1" x14ac:dyDescent="0.3">
      <c r="A76" s="105" t="s">
        <v>218</v>
      </c>
      <c r="B76" s="113">
        <v>11.89</v>
      </c>
      <c r="C76" s="113">
        <v>16.309999999999999</v>
      </c>
      <c r="D76" s="113">
        <v>-15.25</v>
      </c>
      <c r="E76" s="113">
        <v>6.23</v>
      </c>
      <c r="F76" s="113">
        <v>-11.97934777134828</v>
      </c>
      <c r="G76" s="113"/>
    </row>
    <row r="77" spans="1:12" s="105" customFormat="1" ht="15.75" customHeight="1" x14ac:dyDescent="0.3">
      <c r="A77" s="105" t="s">
        <v>219</v>
      </c>
      <c r="B77" s="113">
        <v>7.9</v>
      </c>
      <c r="C77" s="113">
        <v>22.95</v>
      </c>
      <c r="D77" s="113">
        <v>-18.190000000000001</v>
      </c>
      <c r="E77" s="113">
        <v>4.74</v>
      </c>
      <c r="F77" s="113">
        <v>-8.5873920841919134</v>
      </c>
      <c r="G77" s="113"/>
    </row>
    <row r="78" spans="1:12" s="105" customFormat="1" ht="15.75" customHeight="1" x14ac:dyDescent="0.3">
      <c r="A78" s="105" t="s">
        <v>220</v>
      </c>
      <c r="B78" s="113">
        <v>0.3</v>
      </c>
      <c r="C78" s="113">
        <v>23.45</v>
      </c>
      <c r="D78" s="113">
        <v>-16.96</v>
      </c>
      <c r="E78" s="113">
        <v>9.1199999999999992</v>
      </c>
      <c r="F78" s="113">
        <v>-12.46514667614375</v>
      </c>
      <c r="G78" s="113"/>
    </row>
    <row r="79" spans="1:12" s="105" customFormat="1" ht="15.75" customHeight="1" x14ac:dyDescent="0.3">
      <c r="A79" s="105" t="s">
        <v>221</v>
      </c>
      <c r="B79" s="113">
        <v>6.82</v>
      </c>
      <c r="C79" s="113">
        <v>17.72</v>
      </c>
      <c r="D79" s="113">
        <v>-17.04</v>
      </c>
      <c r="E79" s="113">
        <v>8.4</v>
      </c>
      <c r="F79" s="113">
        <v>-13.741208860563541</v>
      </c>
      <c r="G79" s="113"/>
    </row>
    <row r="80" spans="1:12" s="105" customFormat="1" ht="15.75" customHeight="1" x14ac:dyDescent="0.3">
      <c r="A80" s="105" t="s">
        <v>222</v>
      </c>
      <c r="B80" s="113">
        <v>5.3</v>
      </c>
      <c r="C80" s="113">
        <v>12.69</v>
      </c>
      <c r="D80" s="113">
        <v>-12.12</v>
      </c>
      <c r="E80" s="113">
        <v>7.08</v>
      </c>
      <c r="F80" s="113">
        <v>-11.34253456487785</v>
      </c>
      <c r="G80" s="113"/>
    </row>
    <row r="81" spans="1:12" s="105" customFormat="1" ht="15.75" customHeight="1" x14ac:dyDescent="0.3">
      <c r="A81" s="105" t="s">
        <v>223</v>
      </c>
      <c r="B81" s="113">
        <v>9.8699999999999992</v>
      </c>
      <c r="C81" s="113">
        <v>1.55</v>
      </c>
      <c r="D81" s="113">
        <v>-1.03</v>
      </c>
      <c r="E81" s="113">
        <v>-1.89</v>
      </c>
      <c r="F81" s="113">
        <v>-15.384048338071629</v>
      </c>
      <c r="G81" s="113"/>
    </row>
    <row r="82" spans="1:12" s="105" customFormat="1" ht="15.75" customHeight="1" x14ac:dyDescent="0.3">
      <c r="A82" s="105" t="s">
        <v>224</v>
      </c>
      <c r="B82" s="113">
        <v>11.18</v>
      </c>
      <c r="C82" s="113">
        <v>-8.76</v>
      </c>
      <c r="D82" s="113">
        <v>4.22</v>
      </c>
      <c r="E82" s="113">
        <v>2.2200000000000002</v>
      </c>
      <c r="F82" s="113" t="s">
        <v>161</v>
      </c>
      <c r="G82" s="113"/>
    </row>
    <row r="83" spans="1:12" s="105" customFormat="1" ht="15.75" customHeight="1" x14ac:dyDescent="0.3">
      <c r="A83" s="105" t="s">
        <v>225</v>
      </c>
      <c r="B83" s="113">
        <v>15.58</v>
      </c>
      <c r="C83" s="113">
        <v>-7.15</v>
      </c>
      <c r="D83" s="113">
        <v>1.84</v>
      </c>
      <c r="E83" s="113">
        <v>-3.41</v>
      </c>
      <c r="F83" s="113" t="s">
        <v>161</v>
      </c>
      <c r="G83" s="113"/>
    </row>
    <row r="84" spans="1:12" s="105" customFormat="1" ht="15.75" customHeight="1" x14ac:dyDescent="0.3">
      <c r="A84" s="105" t="s">
        <v>226</v>
      </c>
      <c r="B84" s="113">
        <v>18.190000000000001</v>
      </c>
      <c r="C84" s="113">
        <v>-10.55</v>
      </c>
      <c r="D84" s="113">
        <v>2.72</v>
      </c>
      <c r="E84" s="113">
        <v>-6.31</v>
      </c>
      <c r="F84" s="113" t="s">
        <v>161</v>
      </c>
      <c r="G84" s="113"/>
    </row>
    <row r="85" spans="1:12" s="105" customFormat="1" ht="15.75" customHeight="1" x14ac:dyDescent="0.3">
      <c r="A85" s="105" t="s">
        <v>227</v>
      </c>
      <c r="B85" s="113">
        <v>27.34</v>
      </c>
      <c r="C85" s="113">
        <v>-15.74</v>
      </c>
      <c r="D85" s="113">
        <v>8.68</v>
      </c>
      <c r="E85" s="113">
        <v>-12.3</v>
      </c>
      <c r="F85" s="113" t="s">
        <v>161</v>
      </c>
      <c r="G85" s="113"/>
    </row>
    <row r="86" spans="1:12" s="105" customFormat="1" ht="15.75" customHeight="1" x14ac:dyDescent="0.3">
      <c r="A86" s="105" t="s">
        <v>228</v>
      </c>
      <c r="B86" s="113">
        <v>19.91</v>
      </c>
      <c r="C86" s="113">
        <v>-17.23</v>
      </c>
      <c r="D86" s="113">
        <v>11.03</v>
      </c>
      <c r="E86" s="113">
        <v>-15.28</v>
      </c>
      <c r="F86" s="113" t="s">
        <v>161</v>
      </c>
      <c r="G86" s="113"/>
    </row>
    <row r="87" spans="1:12" s="105" customFormat="1" ht="15.75" customHeight="1" x14ac:dyDescent="0.3">
      <c r="A87" s="105" t="s">
        <v>229</v>
      </c>
      <c r="B87" s="113">
        <v>20.82</v>
      </c>
      <c r="C87" s="113">
        <v>-20.54</v>
      </c>
      <c r="D87" s="113">
        <v>15.36</v>
      </c>
      <c r="E87" s="113">
        <v>-14.79</v>
      </c>
      <c r="F87" s="113" t="s">
        <v>161</v>
      </c>
      <c r="G87" s="113"/>
    </row>
    <row r="88" spans="1:12" s="105" customFormat="1" ht="15.75" customHeight="1" x14ac:dyDescent="0.3">
      <c r="B88" s="113"/>
      <c r="C88" s="113"/>
      <c r="D88" s="113"/>
      <c r="E88" s="113"/>
      <c r="F88" s="113"/>
      <c r="G88" s="113"/>
    </row>
    <row r="89" spans="1:12" s="105" customFormat="1" ht="15.75" customHeight="1" x14ac:dyDescent="0.3">
      <c r="B89" s="113"/>
      <c r="C89" s="113"/>
      <c r="D89" s="113"/>
      <c r="E89" s="113"/>
      <c r="F89" s="113"/>
      <c r="G89" s="113"/>
    </row>
    <row r="90" spans="1:12" s="105" customFormat="1" ht="15.75" customHeight="1" thickBot="1" x14ac:dyDescent="0.35">
      <c r="A90" s="114" t="s">
        <v>241</v>
      </c>
      <c r="B90" s="119"/>
      <c r="C90" s="119"/>
      <c r="D90" s="119"/>
      <c r="E90" s="119"/>
      <c r="F90" s="119"/>
      <c r="G90" s="119"/>
      <c r="H90" s="114"/>
      <c r="I90" s="114"/>
      <c r="J90" s="114"/>
      <c r="K90" s="114"/>
      <c r="L90" s="114"/>
    </row>
    <row r="91" spans="1:12" s="105" customFormat="1" ht="15.75" customHeight="1" x14ac:dyDescent="0.3">
      <c r="B91" s="113"/>
      <c r="C91" s="113"/>
      <c r="D91" s="113"/>
      <c r="E91" s="113"/>
      <c r="F91" s="113"/>
      <c r="G91" s="113"/>
    </row>
    <row r="92" spans="1:12" s="105" customFormat="1" ht="15.75" customHeight="1" x14ac:dyDescent="0.3">
      <c r="A92" s="132" t="s">
        <v>245</v>
      </c>
      <c r="B92" s="130"/>
      <c r="C92" s="130"/>
      <c r="D92" s="130"/>
      <c r="E92" s="130"/>
      <c r="F92" s="108"/>
      <c r="G92" s="108"/>
      <c r="H92" s="108" t="s">
        <v>246</v>
      </c>
      <c r="I92" s="108"/>
      <c r="J92" s="108"/>
      <c r="K92" s="108"/>
      <c r="L92" s="108"/>
    </row>
    <row r="93" spans="1:12" s="105" customFormat="1" ht="15.75" customHeight="1" x14ac:dyDescent="0.3">
      <c r="A93" s="131" t="s">
        <v>247</v>
      </c>
      <c r="B93" s="130"/>
      <c r="C93" s="130"/>
      <c r="D93" s="130"/>
      <c r="E93" s="130"/>
      <c r="F93" s="109"/>
      <c r="G93" s="109"/>
    </row>
    <row r="94" spans="1:12" s="105" customFormat="1" ht="15.75" customHeight="1" thickBot="1" x14ac:dyDescent="0.35">
      <c r="A94" s="138" t="s">
        <v>216</v>
      </c>
      <c r="B94" s="135"/>
      <c r="C94" s="135"/>
      <c r="D94" s="135"/>
      <c r="E94" s="135"/>
      <c r="F94" s="118"/>
      <c r="G94" s="107"/>
    </row>
    <row r="95" spans="1:12" s="105" customFormat="1" ht="15.75" customHeight="1" x14ac:dyDescent="0.3"/>
    <row r="96" spans="1:12" s="105" customFormat="1" ht="15.75" customHeight="1" x14ac:dyDescent="0.3">
      <c r="A96" s="105" t="s">
        <v>248</v>
      </c>
      <c r="B96" s="120" t="s">
        <v>249</v>
      </c>
      <c r="C96" s="120" t="s">
        <v>250</v>
      </c>
      <c r="D96" s="120" t="s">
        <v>251</v>
      </c>
      <c r="E96" s="120" t="s">
        <v>252</v>
      </c>
      <c r="F96" s="120" t="s">
        <v>253</v>
      </c>
      <c r="G96" s="107"/>
    </row>
    <row r="97" spans="1:12" s="105" customFormat="1" ht="15.75" customHeight="1" x14ac:dyDescent="0.3">
      <c r="A97" s="107"/>
    </row>
    <row r="98" spans="1:12" s="105" customFormat="1" ht="15.75" customHeight="1" x14ac:dyDescent="0.3">
      <c r="A98" s="112">
        <v>2</v>
      </c>
    </row>
    <row r="99" spans="1:12" s="105" customFormat="1" ht="15.75" customHeight="1" x14ac:dyDescent="0.3">
      <c r="A99" s="121" t="s">
        <v>254</v>
      </c>
      <c r="B99" s="115">
        <v>7.9744849372897404</v>
      </c>
      <c r="C99" s="115">
        <v>2.7093815589989729</v>
      </c>
      <c r="D99" s="115">
        <v>-2.021204353945923E-2</v>
      </c>
      <c r="E99" s="115">
        <v>2.7645388827899922</v>
      </c>
      <c r="F99" s="115">
        <v>2.173279370102382</v>
      </c>
      <c r="G99" s="122"/>
    </row>
    <row r="100" spans="1:12" s="105" customFormat="1" ht="15.75" customHeight="1" x14ac:dyDescent="0.3">
      <c r="A100" s="121" t="s">
        <v>255</v>
      </c>
      <c r="B100" s="115">
        <v>12.33215038188647</v>
      </c>
      <c r="C100" s="115">
        <v>0.41706209186568649</v>
      </c>
      <c r="D100" s="115">
        <v>1.7027690270906679</v>
      </c>
      <c r="E100" s="115">
        <v>1.8291952993814751</v>
      </c>
      <c r="F100" s="115"/>
      <c r="G100" s="122"/>
    </row>
    <row r="101" spans="1:12" s="105" customFormat="1" ht="15.75" customHeight="1" x14ac:dyDescent="0.3">
      <c r="A101" s="121" t="s">
        <v>256</v>
      </c>
      <c r="B101" s="115">
        <v>7.3443381307535009</v>
      </c>
      <c r="C101" s="115">
        <v>-0.39691174127164058</v>
      </c>
      <c r="D101" s="115">
        <v>1.717078187218624</v>
      </c>
      <c r="E101" s="115">
        <v>3.6933131629942189</v>
      </c>
      <c r="F101" s="115"/>
      <c r="G101" s="122"/>
    </row>
    <row r="102" spans="1:12" s="105" customFormat="1" ht="15.75" customHeight="1" x14ac:dyDescent="0.3">
      <c r="A102" s="121" t="s">
        <v>257</v>
      </c>
      <c r="B102" s="115">
        <v>2.1717172392027968</v>
      </c>
      <c r="C102" s="115">
        <v>0.6718294828364515</v>
      </c>
      <c r="D102" s="115">
        <v>2.5804950972347021</v>
      </c>
      <c r="E102" s="115">
        <v>2.0056449690633018</v>
      </c>
      <c r="F102" s="115"/>
      <c r="G102" s="122"/>
    </row>
    <row r="103" spans="1:12" s="105" customFormat="1" ht="15.75" customHeight="1" x14ac:dyDescent="0.3">
      <c r="A103" s="123"/>
      <c r="B103" s="111"/>
      <c r="C103" s="111"/>
      <c r="D103" s="111"/>
      <c r="E103" s="111"/>
      <c r="F103" s="111"/>
    </row>
    <row r="104" spans="1:12" s="105" customFormat="1" ht="15.75" customHeight="1" x14ac:dyDescent="0.3">
      <c r="A104" s="121"/>
      <c r="B104" s="113"/>
    </row>
    <row r="105" spans="1:12" s="105" customFormat="1" ht="15.75" customHeight="1" x14ac:dyDescent="0.3">
      <c r="A105" s="121"/>
      <c r="B105" s="113"/>
    </row>
    <row r="106" spans="1:12" s="105" customFormat="1" ht="15.75" customHeight="1" x14ac:dyDescent="0.3">
      <c r="A106" s="121"/>
      <c r="B106" s="113"/>
    </row>
    <row r="107" spans="1:12" s="105" customFormat="1" ht="15.75" customHeight="1" x14ac:dyDescent="0.3">
      <c r="A107" s="105" t="s">
        <v>258</v>
      </c>
      <c r="B107" s="113"/>
    </row>
    <row r="108" spans="1:12" s="105" customFormat="1" ht="15.75" customHeight="1" x14ac:dyDescent="0.3">
      <c r="B108" s="113"/>
    </row>
    <row r="109" spans="1:12" s="105" customFormat="1" ht="15.75" customHeight="1" x14ac:dyDescent="0.3">
      <c r="A109" s="124" t="s">
        <v>259</v>
      </c>
      <c r="B109" s="113"/>
      <c r="C109" s="113"/>
      <c r="D109" s="113"/>
      <c r="E109" s="113"/>
      <c r="G109" s="113"/>
    </row>
    <row r="110" spans="1:12" s="105" customFormat="1" ht="15.75" customHeight="1" x14ac:dyDescent="0.3">
      <c r="A110" s="105" t="s">
        <v>260</v>
      </c>
      <c r="B110" s="113"/>
      <c r="C110" s="113"/>
      <c r="D110" s="113"/>
      <c r="E110" s="113"/>
      <c r="G110" s="113"/>
    </row>
    <row r="111" spans="1:12" s="105" customFormat="1" ht="15.75" customHeight="1" thickBot="1" x14ac:dyDescent="0.35">
      <c r="A111" s="114" t="s">
        <v>261</v>
      </c>
      <c r="B111" s="114"/>
      <c r="C111" s="114"/>
      <c r="D111" s="114"/>
      <c r="E111" s="114"/>
      <c r="F111" s="114"/>
      <c r="G111" s="114"/>
      <c r="H111" s="114"/>
      <c r="I111" s="114"/>
      <c r="J111" s="114"/>
      <c r="K111" s="114"/>
      <c r="L111" s="114"/>
    </row>
    <row r="112" spans="1:12" s="105" customFormat="1" ht="15.75" customHeight="1" x14ac:dyDescent="0.3"/>
    <row r="113" spans="1:12" s="105" customFormat="1" ht="15.75" customHeight="1" x14ac:dyDescent="0.3">
      <c r="A113" s="132" t="s">
        <v>262</v>
      </c>
      <c r="B113" s="130"/>
      <c r="C113" s="130"/>
      <c r="D113" s="130"/>
      <c r="E113" s="130"/>
      <c r="F113" s="108"/>
      <c r="G113" s="108"/>
      <c r="H113" s="108" t="s">
        <v>263</v>
      </c>
      <c r="I113" s="108"/>
      <c r="J113" s="108"/>
      <c r="K113" s="108"/>
      <c r="L113" s="108"/>
    </row>
    <row r="114" spans="1:12" s="105" customFormat="1" ht="15.75" customHeight="1" x14ac:dyDescent="0.3">
      <c r="A114" s="131" t="s">
        <v>264</v>
      </c>
      <c r="B114" s="130"/>
      <c r="C114" s="130"/>
      <c r="D114" s="130"/>
      <c r="E114" s="130"/>
      <c r="F114" s="109"/>
      <c r="G114" s="109"/>
    </row>
    <row r="115" spans="1:12" s="105" customFormat="1" ht="15.75" customHeight="1" x14ac:dyDescent="0.3">
      <c r="A115" s="132" t="s">
        <v>265</v>
      </c>
      <c r="B115" s="130"/>
      <c r="C115" s="130"/>
      <c r="D115" s="130"/>
      <c r="E115" s="130"/>
      <c r="F115" s="107"/>
      <c r="G115" s="107"/>
    </row>
    <row r="116" spans="1:12" s="105" customFormat="1" ht="15.75" customHeight="1" thickBot="1" x14ac:dyDescent="0.35">
      <c r="A116" s="114"/>
      <c r="B116" s="118"/>
      <c r="C116" s="118" t="s">
        <v>216</v>
      </c>
      <c r="D116" s="118"/>
      <c r="E116" s="118"/>
      <c r="F116" s="118"/>
      <c r="G116" s="107"/>
    </row>
    <row r="117" spans="1:12" s="105" customFormat="1" ht="15.75" customHeight="1" x14ac:dyDescent="0.3"/>
    <row r="118" spans="1:12" s="105" customFormat="1" ht="15.75" customHeight="1" x14ac:dyDescent="0.3">
      <c r="A118" s="105" t="s">
        <v>248</v>
      </c>
      <c r="B118" s="120">
        <v>2022</v>
      </c>
      <c r="C118" s="120">
        <v>2023</v>
      </c>
      <c r="D118" s="120">
        <v>2024</v>
      </c>
      <c r="E118" s="120">
        <v>2025</v>
      </c>
      <c r="F118" s="120">
        <v>2026</v>
      </c>
      <c r="G118" s="107"/>
    </row>
    <row r="119" spans="1:12" s="105" customFormat="1" ht="15.75" customHeight="1" x14ac:dyDescent="0.3">
      <c r="A119" s="112">
        <v>6</v>
      </c>
    </row>
    <row r="120" spans="1:12" s="105" customFormat="1" ht="15.75" customHeight="1" x14ac:dyDescent="0.3">
      <c r="A120" s="105" t="s">
        <v>218</v>
      </c>
      <c r="B120" s="113">
        <v>14.65</v>
      </c>
      <c r="C120" s="113">
        <v>13.7</v>
      </c>
      <c r="D120" s="113">
        <v>12.66</v>
      </c>
      <c r="E120" s="113">
        <v>11.64</v>
      </c>
      <c r="F120" s="113">
        <v>10.85945281420206</v>
      </c>
      <c r="G120" s="123"/>
    </row>
    <row r="121" spans="1:12" s="105" customFormat="1" ht="15.75" customHeight="1" x14ac:dyDescent="0.3">
      <c r="A121" s="105" t="s">
        <v>219</v>
      </c>
      <c r="B121" s="113">
        <v>12.91</v>
      </c>
      <c r="C121" s="113">
        <v>11.35</v>
      </c>
      <c r="D121" s="113">
        <v>11.67</v>
      </c>
      <c r="E121" s="113">
        <v>10.33</v>
      </c>
      <c r="F121" s="113">
        <v>9.234958425182727</v>
      </c>
      <c r="G121" s="125"/>
    </row>
    <row r="122" spans="1:12" s="105" customFormat="1" ht="15.75" customHeight="1" x14ac:dyDescent="0.3">
      <c r="A122" s="105" t="s">
        <v>220</v>
      </c>
      <c r="B122" s="113">
        <v>12.12</v>
      </c>
      <c r="C122" s="113">
        <v>10.029999999999999</v>
      </c>
      <c r="D122" s="113">
        <v>11.29</v>
      </c>
      <c r="E122" s="113">
        <v>9.6199999999999992</v>
      </c>
      <c r="F122" s="113">
        <v>8.7933861147571992</v>
      </c>
      <c r="G122" s="125"/>
    </row>
    <row r="123" spans="1:12" s="105" customFormat="1" ht="15.75" customHeight="1" x14ac:dyDescent="0.3">
      <c r="A123" s="105" t="s">
        <v>221</v>
      </c>
      <c r="B123" s="113">
        <v>11.17</v>
      </c>
      <c r="C123" s="113">
        <v>10.72</v>
      </c>
      <c r="D123" s="113">
        <v>10.65</v>
      </c>
      <c r="E123" s="113">
        <v>8.7799999999999994</v>
      </c>
      <c r="F123" s="126">
        <v>8.7814568020438806</v>
      </c>
      <c r="G123" s="125"/>
    </row>
    <row r="124" spans="1:12" s="105" customFormat="1" ht="15.75" customHeight="1" x14ac:dyDescent="0.3">
      <c r="A124" s="105" t="s">
        <v>222</v>
      </c>
      <c r="B124" s="113">
        <v>10.65</v>
      </c>
      <c r="C124" s="113">
        <v>10.48</v>
      </c>
      <c r="D124" s="113">
        <v>10.31</v>
      </c>
      <c r="E124" s="113">
        <v>9.0399999999999991</v>
      </c>
      <c r="F124" s="113">
        <v>8.0206511267912095</v>
      </c>
      <c r="G124" s="125"/>
    </row>
    <row r="125" spans="1:12" s="105" customFormat="1" ht="15.75" customHeight="1" x14ac:dyDescent="0.3">
      <c r="A125" s="105" t="s">
        <v>223</v>
      </c>
      <c r="B125" s="113">
        <v>11.26</v>
      </c>
      <c r="C125" s="113">
        <v>9.34</v>
      </c>
      <c r="D125" s="113">
        <v>10.27</v>
      </c>
      <c r="E125" s="113">
        <v>8.5500000000000007</v>
      </c>
      <c r="F125" s="113" t="s">
        <v>161</v>
      </c>
    </row>
    <row r="126" spans="1:12" s="105" customFormat="1" ht="15.75" customHeight="1" x14ac:dyDescent="0.3">
      <c r="A126" s="105" t="s">
        <v>224</v>
      </c>
      <c r="B126" s="113">
        <v>10.99</v>
      </c>
      <c r="C126" s="113">
        <v>9.57</v>
      </c>
      <c r="D126" s="113">
        <v>9.92</v>
      </c>
      <c r="E126" s="113">
        <v>8.84</v>
      </c>
      <c r="F126" s="113" t="s">
        <v>161</v>
      </c>
    </row>
    <row r="127" spans="1:12" s="105" customFormat="1" ht="15.75" customHeight="1" x14ac:dyDescent="0.3">
      <c r="A127" s="105" t="s">
        <v>225</v>
      </c>
      <c r="B127" s="113">
        <v>10.63</v>
      </c>
      <c r="C127" s="113">
        <v>9.2799999999999994</v>
      </c>
      <c r="D127" s="113">
        <v>9.66</v>
      </c>
      <c r="E127" s="113">
        <v>8.6</v>
      </c>
      <c r="F127" s="113" t="s">
        <v>161</v>
      </c>
    </row>
    <row r="128" spans="1:12" s="105" customFormat="1" ht="15.75" customHeight="1" x14ac:dyDescent="0.3">
      <c r="A128" s="105" t="s">
        <v>226</v>
      </c>
      <c r="B128" s="113">
        <v>10.75</v>
      </c>
      <c r="C128" s="113">
        <v>9.25</v>
      </c>
      <c r="D128" s="113">
        <v>9.1300000000000008</v>
      </c>
      <c r="E128" s="113">
        <v>8.17</v>
      </c>
      <c r="F128" s="113" t="s">
        <v>161</v>
      </c>
    </row>
    <row r="129" spans="1:12" s="105" customFormat="1" ht="15.75" customHeight="1" x14ac:dyDescent="0.3">
      <c r="A129" s="105" t="s">
        <v>227</v>
      </c>
      <c r="B129" s="113">
        <v>9.7200000000000006</v>
      </c>
      <c r="C129" s="113">
        <v>9.23</v>
      </c>
      <c r="D129" s="113">
        <v>9.1300000000000008</v>
      </c>
      <c r="E129" s="113">
        <v>8.1999999999999993</v>
      </c>
      <c r="F129" s="113" t="s">
        <v>161</v>
      </c>
    </row>
    <row r="130" spans="1:12" s="105" customFormat="1" ht="15.75" customHeight="1" x14ac:dyDescent="0.3">
      <c r="A130" s="105" t="s">
        <v>228</v>
      </c>
      <c r="B130" s="113">
        <v>9.5</v>
      </c>
      <c r="C130" s="113">
        <v>9.01</v>
      </c>
      <c r="D130" s="113">
        <v>8.17</v>
      </c>
      <c r="E130" s="113">
        <v>7.02</v>
      </c>
      <c r="F130" s="113" t="s">
        <v>161</v>
      </c>
    </row>
    <row r="131" spans="1:12" s="105" customFormat="1" ht="15.75" customHeight="1" x14ac:dyDescent="0.3">
      <c r="A131" s="105" t="s">
        <v>229</v>
      </c>
      <c r="B131" s="113">
        <v>10.27</v>
      </c>
      <c r="C131" s="113">
        <v>10.01</v>
      </c>
      <c r="D131" s="113">
        <v>9.1300000000000008</v>
      </c>
      <c r="E131" s="113">
        <v>7.98</v>
      </c>
      <c r="F131" s="113"/>
    </row>
    <row r="132" spans="1:12" s="105" customFormat="1" ht="15.75" customHeight="1" x14ac:dyDescent="0.3"/>
    <row r="133" spans="1:12" s="105" customFormat="1" ht="15.75" customHeight="1" thickBot="1" x14ac:dyDescent="0.35">
      <c r="A133" s="114" t="s">
        <v>230</v>
      </c>
      <c r="B133" s="114"/>
      <c r="C133" s="114"/>
      <c r="D133" s="114"/>
      <c r="E133" s="114"/>
      <c r="F133" s="114"/>
      <c r="G133" s="114"/>
      <c r="H133" s="114"/>
      <c r="I133" s="114"/>
      <c r="J133" s="114"/>
      <c r="K133" s="114"/>
      <c r="L133" s="114"/>
    </row>
    <row r="134" spans="1:12" s="105" customFormat="1" ht="15.75" customHeight="1" x14ac:dyDescent="0.3">
      <c r="A134" s="123"/>
    </row>
    <row r="314" spans="13:13" ht="15.75" customHeight="1" x14ac:dyDescent="0.3">
      <c r="M314" s="98"/>
    </row>
    <row r="315" spans="13:13" ht="15.75" customHeight="1" x14ac:dyDescent="0.3">
      <c r="M315" s="98"/>
    </row>
    <row r="316" spans="13:13" ht="15.75" customHeight="1" x14ac:dyDescent="0.3">
      <c r="M316" s="98"/>
    </row>
    <row r="317" spans="13:13" ht="15.75" customHeight="1" x14ac:dyDescent="0.3">
      <c r="M317" s="98"/>
    </row>
    <row r="318" spans="13:13" ht="15.75" customHeight="1" x14ac:dyDescent="0.3">
      <c r="M318" s="98"/>
    </row>
    <row r="319" spans="13:13" ht="15.75" customHeight="1" x14ac:dyDescent="0.3">
      <c r="M319" s="98"/>
    </row>
    <row r="326" spans="12:13" ht="15.75" customHeight="1" x14ac:dyDescent="0.3">
      <c r="L326" s="99"/>
      <c r="M326" s="115"/>
    </row>
    <row r="327" spans="12:13" ht="15.75" customHeight="1" x14ac:dyDescent="0.3">
      <c r="L327" s="99"/>
      <c r="M327" s="115"/>
    </row>
    <row r="328" spans="12:13" ht="15.75" customHeight="1" x14ac:dyDescent="0.3">
      <c r="L328" s="99"/>
      <c r="M328" s="115"/>
    </row>
    <row r="329" spans="12:13" ht="15.75" customHeight="1" x14ac:dyDescent="0.3">
      <c r="L329" s="99"/>
      <c r="M329" s="115"/>
    </row>
    <row r="330" spans="12:13" ht="15.75" customHeight="1" x14ac:dyDescent="0.3">
      <c r="L330" s="99"/>
      <c r="M330" s="115"/>
    </row>
    <row r="331" spans="12:13" ht="15.75" customHeight="1" x14ac:dyDescent="0.3">
      <c r="L331" s="99"/>
      <c r="M331" s="115"/>
    </row>
    <row r="332" spans="12:13" ht="15.75" customHeight="1" x14ac:dyDescent="0.3">
      <c r="L332" s="99"/>
      <c r="M332" s="115"/>
    </row>
  </sheetData>
  <mergeCells count="24">
    <mergeCell ref="A115:E115"/>
    <mergeCell ref="A93:E93"/>
    <mergeCell ref="A92:E92"/>
    <mergeCell ref="A6:E6"/>
    <mergeCell ref="H56:L56"/>
    <mergeCell ref="A114:E114"/>
    <mergeCell ref="A73:E73"/>
    <mergeCell ref="A94:E94"/>
    <mergeCell ref="A113:E113"/>
    <mergeCell ref="A71:E71"/>
    <mergeCell ref="A72:E72"/>
    <mergeCell ref="E4:I4"/>
    <mergeCell ref="A7:E7"/>
    <mergeCell ref="A27:E27"/>
    <mergeCell ref="H52:L52"/>
    <mergeCell ref="A50:E50"/>
    <mergeCell ref="A28:F28"/>
    <mergeCell ref="A5:E5"/>
    <mergeCell ref="A8:E8"/>
    <mergeCell ref="A29:E29"/>
    <mergeCell ref="A52:E52"/>
    <mergeCell ref="A30:E30"/>
    <mergeCell ref="A51:E51"/>
    <mergeCell ref="A49:E49"/>
  </mergeCells>
  <printOptions horizontalCentered="1" verticalCentered="1"/>
  <pageMargins left="0.39370078740157483" right="0.39370078740157483" top="0.39370078740157483" bottom="0.43307086614173229" header="0" footer="0"/>
  <pageSetup scale="83" fitToHeight="2" orientation="portrait" copies="2"/>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c4422c2-144c-4acd-aba4-9c58bab89f55">
      <Terms xmlns="http://schemas.microsoft.com/office/infopath/2007/PartnerControls"/>
    </lcf76f155ced4ddcb4097134ff3c332f>
    <TaxCatchAll xmlns="938cbe82-916d-48b0-a1ac-bb9ce63ec81f" xsi:nil="true"/>
    <_dlc_DocId xmlns="938cbe82-916d-48b0-a1ac-bb9ce63ec81f">DDKQ3MTPZMK7-1407194521-193990</_dlc_DocId>
    <_dlc_DocIdUrl xmlns="938cbe82-916d-48b0-a1ac-bb9ce63ec81f">
      <Url>https://manuelitasa1.sharepoint.com/sites/Manuelita_Docs/financiera/_layouts/15/DocIdRedir.aspx?ID=DDKQ3MTPZMK7-1407194521-193990</Url>
      <Description>DDKQ3MTPZMK7-1407194521-193990</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0663D704A754347A244BB58F1A3381A" ma:contentTypeVersion="27" ma:contentTypeDescription="Crear nuevo documento." ma:contentTypeScope="" ma:versionID="1a16001c6df1ea83d7642dfa7c5acc08">
  <xsd:schema xmlns:xsd="http://www.w3.org/2001/XMLSchema" xmlns:xs="http://www.w3.org/2001/XMLSchema" xmlns:p="http://schemas.microsoft.com/office/2006/metadata/properties" xmlns:ns2="938cbe82-916d-48b0-a1ac-bb9ce63ec81f" xmlns:ns3="ec4422c2-144c-4acd-aba4-9c58bab89f55" xmlns:ns4="ef0f3ef6-f6f8-429f-aaef-71b736419c51" targetNamespace="http://schemas.microsoft.com/office/2006/metadata/properties" ma:root="true" ma:fieldsID="d4fefecda5e1369ee112d6b87fbdcd5d" ns2:_="" ns3:_="" ns4:_="">
    <xsd:import namespace="938cbe82-916d-48b0-a1ac-bb9ce63ec81f"/>
    <xsd:import namespace="ec4422c2-144c-4acd-aba4-9c58bab89f55"/>
    <xsd:import namespace="ef0f3ef6-f6f8-429f-aaef-71b736419c51"/>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LengthInSecond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3:lcf76f155ced4ddcb4097134ff3c332f" minOccurs="0"/>
                <xsd:element ref="ns2:TaxCatchAll" minOccurs="0"/>
                <xsd:element ref="ns4:SharedWithUsers" minOccurs="0"/>
                <xsd:element ref="ns4:SharedWithDetails"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8cbe82-916d-48b0-a1ac-bb9ce63ec81f" elementFormDefault="qualified">
    <xsd:import namespace="http://schemas.microsoft.com/office/2006/documentManagement/types"/>
    <xsd:import namespace="http://schemas.microsoft.com/office/infopath/2007/PartnerControls"/>
    <xsd:element name="_dlc_DocId" ma:index="8" nillable="true" ma:displayName="Valor de Id. de documento" ma:description="El valor del identificador de documento asignado a este elemento." ma:internalName="_dlc_DocId" ma:readOnly="true">
      <xsd:simpleType>
        <xsd:restriction base="dms:Text"/>
      </xsd:simpleType>
    </xsd:element>
    <xsd:element name="_dlc_DocIdUrl" ma:index="9"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4" nillable="true" ma:displayName="Taxonomy Catch All Column" ma:hidden="true" ma:list="{e011a732-df63-4017-9151-8d831548cd2f}" ma:internalName="TaxCatchAll" ma:showField="CatchAllData" ma:web="938cbe82-916d-48b0-a1ac-bb9ce63ec81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c4422c2-144c-4acd-aba4-9c58bab89f5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LengthInSeconds" ma:index="13" nillable="true" ma:displayName="Length (seconds)" ma:internalName="MediaLengthInSeconds" ma:readOnly="true">
      <xsd:simpleType>
        <xsd:restriction base="dms:Unknow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5fbf17e8-8c72-44e7-a3bb-bc34fbb600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f0f3ef6-f6f8-429f-aaef-71b736419c51" elementFormDefault="qualified">
    <xsd:import namespace="http://schemas.microsoft.com/office/2006/documentManagement/types"/>
    <xsd:import namespace="http://schemas.microsoft.com/office/infopath/2007/PartnerControls"/>
    <xsd:element name="SharedWithUsers" ma:index="25"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2F027E1D-F331-4DD5-8B31-9D90076AE300}">
  <ds:schemaRefs>
    <ds:schemaRef ds:uri="http://schemas.microsoft.com/sharepoint/v3/contenttype/forms"/>
  </ds:schemaRefs>
</ds:datastoreItem>
</file>

<file path=customXml/itemProps2.xml><?xml version="1.0" encoding="utf-8"?>
<ds:datastoreItem xmlns:ds="http://schemas.openxmlformats.org/officeDocument/2006/customXml" ds:itemID="{D45AAD77-3A94-4182-9E36-0B166E66BA96}">
  <ds:schemaRefs>
    <ds:schemaRef ds:uri="http://schemas.microsoft.com/office/2006/metadata/properties"/>
    <ds:schemaRef ds:uri="http://schemas.microsoft.com/office/infopath/2007/PartnerControls"/>
    <ds:schemaRef ds:uri="ec4422c2-144c-4acd-aba4-9c58bab89f55"/>
    <ds:schemaRef ds:uri="938cbe82-916d-48b0-a1ac-bb9ce63ec81f"/>
  </ds:schemaRefs>
</ds:datastoreItem>
</file>

<file path=customXml/itemProps3.xml><?xml version="1.0" encoding="utf-8"?>
<ds:datastoreItem xmlns:ds="http://schemas.openxmlformats.org/officeDocument/2006/customXml" ds:itemID="{3A1FFB94-5FF3-4496-92CB-A0B5314F5C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cbe82-916d-48b0-a1ac-bb9ce63ec81f"/>
    <ds:schemaRef ds:uri="ec4422c2-144c-4acd-aba4-9c58bab89f55"/>
    <ds:schemaRef ds:uri="ef0f3ef6-f6f8-429f-aaef-71b736419c5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CD5EE90-576A-4B49-9E88-43937671AA8D}">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ENCUESTA</vt:lpstr>
      <vt:lpstr>Mes</vt:lpstr>
      <vt:lpstr>Trim</vt:lpstr>
      <vt:lpstr>ANEXO</vt:lpstr>
      <vt:lpstr>ANEXO!Área_de_impresión</vt:lpstr>
      <vt:lpstr>ENCUESTA!Área_de_impresión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Estefany Yuliany Perez Chacon</dc:creator>
  <cp:lastModifiedBy>Catherine  Espinosa Perez</cp:lastModifiedBy>
  <dcterms:created xsi:type="dcterms:W3CDTF">2026-06-22T21:51:07Z</dcterms:created>
  <dcterms:modified xsi:type="dcterms:W3CDTF">2026-07-16T20:59:42Z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0x01010010663D704A754347A244BB58F1A3381A</vt:lpwstr>
  </property>
  <property fmtid="{D5CDD505-2E9C-101B-9397-08002B2CF9AE}" pid="3" name="_dlc_DocIdItemGuid">
    <vt:lpwstr>4dc3a087-a456-4b53-9182-76c7151c2724</vt:lpwstr>
  </property>
  <property fmtid="{D5CDD505-2E9C-101B-9397-08002B2CF9AE}" pid="4" name="MediaServiceImageTags">
    <vt:lpwstr/>
  </property>
</Properties>
</file>