
<file path=[Content_Types].xml><?xml version="1.0" encoding="utf-8"?>
<Types xmlns="http://schemas.openxmlformats.org/package/2006/content-types">
  <Default Extension="bin" ContentType="application/vnd.openxmlformats-officedocument.spreadsheetml.printerSettings"/>
  <Default Extension="doc" ContentType="application/msword"/>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activeX/activeX1.xml" ContentType="application/vnd.ms-office.activeX+xml"/>
  <Override PartName="/xl/activeX/activeX1.bin" ContentType="application/vnd.ms-office.activeX"/>
  <Override PartName="/xl/comments2.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mc:AlternateContent xmlns:mc="http://schemas.openxmlformats.org/markup-compatibility/2006">
    <mc:Choice Requires="x15">
      <x15ac:absPath xmlns:x15ac="http://schemas.microsoft.com/office/spreadsheetml/2010/11/ac" url="https://bekaert-my.sharepoint.com/personal/diana_diaz_bekaert_com/Documents/TESORERIA 2026/BANCOS/"/>
    </mc:Choice>
  </mc:AlternateContent>
  <xr:revisionPtr revIDLastSave="0" documentId="8_{AC6032C6-151C-40C1-B9D4-2DE7CDF9F383}" xr6:coauthVersionLast="47" xr6:coauthVersionMax="47" xr10:uidLastSave="{00000000-0000-0000-0000-000000000000}"/>
  <bookViews>
    <workbookView xWindow="-28920" yWindow="-120" windowWidth="29040" windowHeight="15720" firstSheet="3" activeTab="3" xr2:uid="{00000000-000D-0000-FFFF-FFFF00000000}"/>
  </bookViews>
  <sheets>
    <sheet name="Mes" sheetId="574" state="hidden" r:id="rId1"/>
    <sheet name="Trim" sheetId="575" state="hidden" r:id="rId2"/>
    <sheet name="Informacion" sheetId="579" state="hidden" r:id="rId3"/>
    <sheet name="ENCUESTA" sheetId="573" r:id="rId4"/>
    <sheet name="ANEXO" sheetId="571" r:id="rId5"/>
  </sheets>
  <definedNames>
    <definedName name="_xlnm.Print_Area" localSheetId="4">ANEXO!$A$1:$L$133</definedName>
    <definedName name="_xlnm.Print_Area" localSheetId="3">ENCUESTA!$A$1:$J$165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36" i="573" l="1"/>
  <c r="C135" i="573"/>
  <c r="C130" i="573"/>
  <c r="C129" i="573"/>
  <c r="B95" i="573"/>
  <c r="B94" i="573"/>
  <c r="C77" i="573"/>
  <c r="C76" i="573"/>
  <c r="C68" i="573"/>
  <c r="C67" i="573"/>
  <c r="G58" i="573"/>
  <c r="D58" i="573"/>
  <c r="A48" i="573"/>
  <c r="C36" i="573"/>
  <c r="C88" i="573" s="1"/>
  <c r="C35" i="573"/>
  <c r="C87" i="573" s="1"/>
  <c r="C30" i="573"/>
  <c r="C29" i="573"/>
  <c r="C28" i="573"/>
  <c r="C27" i="573"/>
  <c r="C26" i="573"/>
  <c r="C66" i="573" s="1"/>
  <c r="C25" i="573"/>
  <c r="C74" i="573" s="1"/>
  <c r="D19" i="573"/>
  <c r="A19" i="573"/>
  <c r="BS3" i="573"/>
  <c r="BR3" i="573"/>
  <c r="BQ3" i="573"/>
  <c r="BP3" i="573"/>
  <c r="BO3" i="573"/>
  <c r="BN3" i="573"/>
  <c r="BM3" i="573"/>
  <c r="BL3" i="573"/>
  <c r="BK3" i="573"/>
  <c r="BJ3" i="573"/>
  <c r="BI3" i="573"/>
  <c r="BC3" i="573"/>
  <c r="BB3" i="573"/>
  <c r="BA3" i="573"/>
  <c r="AZ3" i="573"/>
  <c r="AY3" i="573"/>
  <c r="AX3" i="573"/>
  <c r="AW3" i="573"/>
  <c r="AV3" i="573"/>
  <c r="AU3" i="573"/>
  <c r="AT3" i="573"/>
  <c r="AS3" i="573"/>
  <c r="AR3" i="573"/>
  <c r="AQ3" i="573"/>
  <c r="AP3" i="573"/>
  <c r="AO3" i="573"/>
  <c r="AN3" i="573"/>
  <c r="AM3" i="573"/>
  <c r="AL3" i="573"/>
  <c r="AK3" i="573"/>
  <c r="AJ3" i="573"/>
  <c r="AI3" i="573"/>
  <c r="AH3" i="573"/>
  <c r="AG3" i="573"/>
  <c r="AF3" i="573"/>
  <c r="AE3" i="573"/>
  <c r="AD3" i="573"/>
  <c r="AC3" i="573"/>
  <c r="AB3" i="573"/>
  <c r="AA3" i="573"/>
  <c r="Z3" i="573"/>
  <c r="Y3" i="573"/>
  <c r="X3" i="573"/>
  <c r="W3" i="573"/>
  <c r="V3" i="573"/>
  <c r="U3" i="573"/>
  <c r="T3" i="573"/>
  <c r="S3" i="573"/>
  <c r="R3" i="573"/>
  <c r="Q3" i="573"/>
  <c r="N3" i="573"/>
  <c r="L3" i="573"/>
  <c r="C65" i="573" l="1"/>
  <c r="C75" i="57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mroperfa</author>
  </authors>
  <commentList>
    <comment ref="B1" authorId="0" shapeId="0" xr:uid="{00000000-0006-0000-0000-000001000000}">
      <text>
        <r>
          <rPr>
            <b/>
            <sz val="8"/>
            <color indexed="81"/>
            <rFont val="Tahoma"/>
            <family val="2"/>
          </rPr>
          <t>mroperfa:</t>
        </r>
        <r>
          <rPr>
            <sz val="8"/>
            <color indexed="81"/>
            <rFont val="Tahoma"/>
            <family val="2"/>
          </rPr>
          <t xml:space="preserve">
Dario Hernández:                 T:\Estadistica\COMUNAL\Precios IPP IPC\IPCTOT.xls   (IPC2008)</t>
        </r>
      </text>
    </comment>
    <comment ref="C1" authorId="0" shapeId="0" xr:uid="{00000000-0006-0000-0000-000002000000}">
      <text>
        <r>
          <rPr>
            <b/>
            <sz val="8"/>
            <color indexed="81"/>
            <rFont val="Tahoma"/>
            <family val="2"/>
          </rPr>
          <t>mroperfa:</t>
        </r>
        <r>
          <rPr>
            <sz val="8"/>
            <color indexed="81"/>
            <rFont val="Tahoma"/>
            <family val="2"/>
          </rPr>
          <t xml:space="preserve">
Adriana Torres, VER:
T</t>
        </r>
        <r>
          <rPr>
            <sz val="9"/>
            <color indexed="81"/>
            <rFont val="Tahoma"/>
            <family val="2"/>
          </rPr>
          <t>:\Estadistica\COMUNAL\Tasas de Interés\Pasivas\DTF\DTF FIN DE MES 1984 HASTA LA FECHA.xls</t>
        </r>
      </text>
    </comment>
    <comment ref="D1" authorId="0" shapeId="0" xr:uid="{00000000-0006-0000-0000-000003000000}">
      <text>
        <r>
          <rPr>
            <b/>
            <sz val="8"/>
            <color indexed="81"/>
            <rFont val="Tahoma"/>
            <family val="2"/>
          </rPr>
          <t>mroperfa:</t>
        </r>
        <r>
          <rPr>
            <sz val="8"/>
            <color indexed="81"/>
            <rFont val="Tahoma"/>
            <family val="2"/>
          </rPr>
          <t xml:space="preserve">
Fernando Alvares, VER:
T:\Estadistica\COMUNAL\TASA DE CAMBIO NOMINAL\TASA DIARIA SIN FESTIVOS DEFINITIVO2019.xls</t>
        </r>
      </text>
    </comment>
    <comment ref="E1" authorId="0" shapeId="0" xr:uid="{00000000-0006-0000-0000-000004000000}">
      <text>
        <r>
          <rPr>
            <b/>
            <sz val="8"/>
            <color indexed="81"/>
            <rFont val="Tahoma"/>
            <family val="2"/>
          </rPr>
          <t>mroperfa:</t>
        </r>
        <r>
          <rPr>
            <sz val="8"/>
            <color indexed="81"/>
            <rFont val="Tahoma"/>
            <family val="2"/>
          </rPr>
          <t xml:space="preserve">
Fernando Alvares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Hernández Bejarano Manuel Darío</author>
  </authors>
  <commentList>
    <comment ref="B10" authorId="0" shapeId="0" xr:uid="{00000000-0006-0000-0600-000001000000}">
      <text>
        <r>
          <rPr>
            <sz val="9"/>
            <color indexed="81"/>
            <rFont val="Tahoma"/>
            <family val="2"/>
          </rPr>
          <t>Modifique el año, en cada encuesta de trim I (Abril) de cada año</t>
        </r>
      </text>
    </comment>
  </commentList>
</comments>
</file>

<file path=xl/sharedStrings.xml><?xml version="1.0" encoding="utf-8"?>
<sst xmlns="http://schemas.openxmlformats.org/spreadsheetml/2006/main" count="376" uniqueCount="268">
  <si>
    <t>sector</t>
  </si>
  <si>
    <t>ENTIDAD</t>
  </si>
  <si>
    <t xml:space="preserve">                                                                     </t>
  </si>
  <si>
    <t>ENCUESTA DE EXPECTATIVAS</t>
  </si>
  <si>
    <t>NO</t>
  </si>
  <si>
    <t>Inflación Anual</t>
  </si>
  <si>
    <t>(Marque con una X la opción  que usted considera adecuada)</t>
  </si>
  <si>
    <t>Cuanto  %</t>
  </si>
  <si>
    <t>No aplica</t>
  </si>
  <si>
    <t>Opciones</t>
  </si>
  <si>
    <t>Alta</t>
  </si>
  <si>
    <t>Baja</t>
  </si>
  <si>
    <t xml:space="preserve">Ninguna de </t>
  </si>
  <si>
    <t>No</t>
  </si>
  <si>
    <t>las anteriores</t>
  </si>
  <si>
    <t>Responde</t>
  </si>
  <si>
    <t>Superior</t>
  </si>
  <si>
    <t xml:space="preserve">Inferior </t>
  </si>
  <si>
    <t xml:space="preserve">Ningún cambio </t>
  </si>
  <si>
    <t>a la actual</t>
  </si>
  <si>
    <t>significativo</t>
  </si>
  <si>
    <t xml:space="preserve">Valor esperado </t>
  </si>
  <si>
    <t>Tasa de Cambio</t>
  </si>
  <si>
    <t xml:space="preserve">Tasa de </t>
  </si>
  <si>
    <t>Crecimiento</t>
  </si>
  <si>
    <t xml:space="preserve">      (Marque con una X la opción que usted considera adecuada)</t>
  </si>
  <si>
    <t>Aumentarla</t>
  </si>
  <si>
    <t>Disminuirla</t>
  </si>
  <si>
    <t>Mantenerla</t>
  </si>
  <si>
    <t>preguntas.</t>
  </si>
  <si>
    <t>Opción</t>
  </si>
  <si>
    <t>SÍ</t>
  </si>
  <si>
    <t>Correo:</t>
  </si>
  <si>
    <t xml:space="preserve">Correo Electrónico: </t>
  </si>
  <si>
    <t>Página Web:</t>
  </si>
  <si>
    <t xml:space="preserve">INFORMACIÓN ACERCA DE QUIÉN RESPONDE  LA ENCUESTA  </t>
  </si>
  <si>
    <t>Nombre:</t>
  </si>
  <si>
    <t>Cargo</t>
  </si>
  <si>
    <t>Entidad:</t>
  </si>
  <si>
    <t>e-mail:</t>
  </si>
  <si>
    <t>Dirección:</t>
  </si>
  <si>
    <t>Teléfono:</t>
  </si>
  <si>
    <t>Cód. Entidad:</t>
  </si>
  <si>
    <r>
      <t xml:space="preserve">I. </t>
    </r>
    <r>
      <rPr>
        <b/>
        <u/>
        <sz val="12"/>
        <rFont val="Times New Roman"/>
        <family val="1"/>
      </rPr>
      <t>Precios y salarios</t>
    </r>
  </si>
  <si>
    <t>Fax:</t>
  </si>
  <si>
    <t>Encuesta de expectativas - anexo 1</t>
  </si>
  <si>
    <t>Cuadro 1</t>
  </si>
  <si>
    <t>Gráfico 1</t>
  </si>
  <si>
    <t>(Var. Anual: Indice Precios al Consumidor Tot.)</t>
  </si>
  <si>
    <t>(%)</t>
  </si>
  <si>
    <t>Mes | Año</t>
  </si>
  <si>
    <t>Feb</t>
  </si>
  <si>
    <t>Mar</t>
  </si>
  <si>
    <t>Abr</t>
  </si>
  <si>
    <t>May</t>
  </si>
  <si>
    <t>Jun</t>
  </si>
  <si>
    <t>Jul</t>
  </si>
  <si>
    <t>Ago</t>
  </si>
  <si>
    <t>Sep</t>
  </si>
  <si>
    <t>Oct</t>
  </si>
  <si>
    <t>Nov</t>
  </si>
  <si>
    <t>Dic</t>
  </si>
  <si>
    <t>Fuente: DANE</t>
  </si>
  <si>
    <t>Cuadro 2</t>
  </si>
  <si>
    <t>Gráfico 2</t>
  </si>
  <si>
    <t>(Tasa efectiva anual Fin de mes)</t>
  </si>
  <si>
    <t>Fuente: Superbancaria, cálculos Banco República</t>
  </si>
  <si>
    <t>Cuadro 3</t>
  </si>
  <si>
    <t>Gráfico 3</t>
  </si>
  <si>
    <t xml:space="preserve">Tasa Representativa del Mercado - TRM     </t>
  </si>
  <si>
    <t xml:space="preserve"> (Fin de mes)</t>
  </si>
  <si>
    <t>(Pesos por Dólar)</t>
  </si>
  <si>
    <t>Fuente: Banco República</t>
  </si>
  <si>
    <t>Cuadro 4</t>
  </si>
  <si>
    <t>Gráfico 4</t>
  </si>
  <si>
    <t>Cuadro 5</t>
  </si>
  <si>
    <t>Gráfico 5</t>
  </si>
  <si>
    <t>Crecimiento de la economía</t>
  </si>
  <si>
    <t>Trim | Año</t>
  </si>
  <si>
    <t>I Trim</t>
  </si>
  <si>
    <t>II Trim</t>
  </si>
  <si>
    <t>III Trim</t>
  </si>
  <si>
    <t>IV Trim</t>
  </si>
  <si>
    <t>p:  Provisional</t>
  </si>
  <si>
    <t>Cuadro 6</t>
  </si>
  <si>
    <t>Gráfico 6</t>
  </si>
  <si>
    <t xml:space="preserve">Tasa de Desempleo </t>
  </si>
  <si>
    <t>(7 ciudades)</t>
  </si>
  <si>
    <t>p: provisional</t>
  </si>
  <si>
    <t>Devaluación Nominal Anual</t>
  </si>
  <si>
    <t>Ciudad:</t>
  </si>
  <si>
    <t xml:space="preserve">  </t>
  </si>
  <si>
    <r>
      <t xml:space="preserve">Nota: En el </t>
    </r>
    <r>
      <rPr>
        <b/>
        <sz val="12"/>
        <rFont val="Times New Roman"/>
        <family val="1"/>
      </rPr>
      <t>cuadro 1 y gráfico 1</t>
    </r>
    <r>
      <rPr>
        <sz val="12"/>
        <rFont val="Times New Roman"/>
        <family val="1"/>
      </rPr>
      <t xml:space="preserve"> se presenta la evolución reciente de los crecimientos anuales de los precios al consumidor, es decir, la inflacion anual. </t>
    </r>
  </si>
  <si>
    <t xml:space="preserve">       </t>
  </si>
  <si>
    <r>
      <t>Utilice la  información  suministrada  y cualquiera otra que considere  relevante para responder las  preguntas</t>
    </r>
    <r>
      <rPr>
        <sz val="14"/>
        <rFont val="Times New Roman"/>
        <family val="1"/>
      </rPr>
      <t>.</t>
    </r>
  </si>
  <si>
    <r>
      <t xml:space="preserve">de la economía se presenta en el </t>
    </r>
    <r>
      <rPr>
        <b/>
        <sz val="12"/>
        <rFont val="Times New Roman"/>
        <family val="1"/>
      </rPr>
      <t>cuadro 6 y gráfico 6</t>
    </r>
    <r>
      <rPr>
        <sz val="12"/>
        <rFont val="Times New Roman"/>
        <family val="1"/>
      </rPr>
      <t>.</t>
    </r>
  </si>
  <si>
    <r>
      <t xml:space="preserve">Nota: En el </t>
    </r>
    <r>
      <rPr>
        <b/>
        <sz val="12"/>
        <rFont val="Times New Roman"/>
        <family val="1"/>
      </rPr>
      <t>cuadro 5 y gráfico 5</t>
    </r>
    <r>
      <rPr>
        <sz val="12"/>
        <rFont val="Times New Roman"/>
        <family val="1"/>
      </rPr>
      <t xml:space="preserve"> se presenta el crecimiento anual de la economía (variación anual del PIB real).  El comportamiento de la tasa de desempleo </t>
    </r>
  </si>
  <si>
    <t>Ene</t>
  </si>
  <si>
    <t>Nota: Si alguna de las celdas cambia de color al momento de diligenciar el formulario, debe revisar sus datos.</t>
  </si>
  <si>
    <r>
      <t>P1:</t>
    </r>
    <r>
      <rPr>
        <sz val="12"/>
        <rFont val="Times New Roman"/>
        <family val="1"/>
      </rPr>
      <t xml:space="preserve"> ¿Cuál cree usted que será la </t>
    </r>
    <r>
      <rPr>
        <b/>
        <sz val="12"/>
        <rFont val="Times New Roman"/>
        <family val="1"/>
      </rPr>
      <t>tasa de inflación anual</t>
    </r>
    <r>
      <rPr>
        <sz val="12"/>
        <rFont val="Times New Roman"/>
        <family val="1"/>
      </rPr>
      <t xml:space="preserve"> a:</t>
    </r>
  </si>
  <si>
    <t>Esperada: %</t>
  </si>
  <si>
    <t>Esperada: (Pesos x 1 US)</t>
  </si>
  <si>
    <t>X</t>
  </si>
  <si>
    <t xml:space="preserve"> </t>
  </si>
  <si>
    <t>Importante</t>
  </si>
  <si>
    <t>Variación anual: %</t>
  </si>
  <si>
    <r>
      <t>P13:</t>
    </r>
    <r>
      <rPr>
        <sz val="12"/>
        <rFont val="Times New Roman"/>
        <family val="1"/>
      </rPr>
      <t xml:space="preserve"> Pregunta acerca de la frecuencia de sus respuestas. Marque con una X las opciones que usted considera adecuadas para cada una de las </t>
    </r>
  </si>
  <si>
    <t>(Marque con una X la opción que usted considera adecuada)</t>
  </si>
  <si>
    <r>
      <t xml:space="preserve">VI. </t>
    </r>
    <r>
      <rPr>
        <b/>
        <u/>
        <sz val="12"/>
        <rFont val="Times New Roman"/>
        <family val="1"/>
      </rPr>
      <t>Seguimiento de la Encuesta</t>
    </r>
    <r>
      <rPr>
        <b/>
        <sz val="12"/>
        <rFont val="Times New Roman"/>
        <family val="1"/>
      </rPr>
      <t xml:space="preserve"> </t>
    </r>
  </si>
  <si>
    <t xml:space="preserve">                                   Datos 2005 hasta la fecha Base=2015)</t>
  </si>
  <si>
    <t xml:space="preserve">                                   Datos 2001 hasta 2005: Base=2005)</t>
  </si>
  <si>
    <t xml:space="preserve"> Incremento costos laborales</t>
  </si>
  <si>
    <t xml:space="preserve"> Cambios en los impuestos</t>
  </si>
  <si>
    <t xml:space="preserve"> Inflación del año anterior</t>
  </si>
  <si>
    <t xml:space="preserve"> Cambios en tarifas de servicios públicos </t>
  </si>
  <si>
    <t xml:space="preserve"> Valor de los arriendos</t>
  </si>
  <si>
    <t xml:space="preserve"> Costos financieros</t>
  </si>
  <si>
    <t xml:space="preserve"> Comportamiento de la tasa de cambio</t>
  </si>
  <si>
    <t xml:space="preserve"> Precios materias primas</t>
  </si>
  <si>
    <t xml:space="preserve"> Margen de utilidad</t>
  </si>
  <si>
    <t xml:space="preserve"> Competencia</t>
  </si>
  <si>
    <t xml:space="preserve"> Demanda por su(s) producto(s)</t>
  </si>
  <si>
    <t xml:space="preserve"> La disponibilidad de crédito es</t>
  </si>
  <si>
    <t xml:space="preserve"> La disponibilidad de crédito</t>
  </si>
  <si>
    <t xml:space="preserve"> ¿Está usted contestando por primera vez esta encuesta?</t>
  </si>
  <si>
    <t xml:space="preserve"> ¿Usted contestó esta encuesta el trimestre pasado?</t>
  </si>
  <si>
    <t xml:space="preserve"> ¿Revisó sus respuestas a la encuesta anterior para contestar esta encuesta?</t>
  </si>
  <si>
    <t>Inflacion_anual</t>
  </si>
  <si>
    <t>TRM_pesos_dólar</t>
  </si>
  <si>
    <t>Devaluacion_nominal_anual</t>
  </si>
  <si>
    <t>Crecimiento_Economia</t>
  </si>
  <si>
    <t xml:space="preserve">Fuente: DANE       (Datos 1994 hasta 2000: Base=1994 ; </t>
  </si>
  <si>
    <r>
      <t xml:space="preserve">II.  </t>
    </r>
    <r>
      <rPr>
        <b/>
        <u/>
        <sz val="12"/>
        <rFont val="Times New Roman"/>
        <family val="1"/>
      </rPr>
      <t>Condiciones monetarias y crediticias</t>
    </r>
  </si>
  <si>
    <r>
      <t xml:space="preserve">P3: </t>
    </r>
    <r>
      <rPr>
        <sz val="12"/>
        <rFont val="Times New Roman"/>
        <family val="1"/>
      </rPr>
      <t>Dada la situación actual de la economía colombiana, considera usted que :</t>
    </r>
  </si>
  <si>
    <r>
      <t xml:space="preserve">III. </t>
    </r>
    <r>
      <rPr>
        <b/>
        <u/>
        <sz val="12"/>
        <rFont val="Times New Roman"/>
        <family val="1"/>
      </rPr>
      <t>Tasas de interés y devaluación</t>
    </r>
  </si>
  <si>
    <r>
      <t xml:space="preserve">IV.  </t>
    </r>
    <r>
      <rPr>
        <b/>
        <u/>
        <sz val="12"/>
        <rFont val="Times New Roman"/>
        <family val="1"/>
      </rPr>
      <t>Actividad económica y empleo</t>
    </r>
  </si>
  <si>
    <r>
      <t>P7:</t>
    </r>
    <r>
      <rPr>
        <sz val="12"/>
        <rFont val="Times New Roman"/>
        <family val="1"/>
      </rPr>
      <t xml:space="preserve"> ¿Cuanto cree usted que será el crecimiento porcentual anual de la economía?</t>
    </r>
  </si>
  <si>
    <r>
      <t>P8:</t>
    </r>
    <r>
      <rPr>
        <sz val="12"/>
        <rFont val="Times New Roman"/>
        <family val="1"/>
      </rPr>
      <t xml:space="preserve"> Con relación a la planta de personal actual (incluya empleados permanentes y temporales) considera que su empresa podría:</t>
    </r>
  </si>
  <si>
    <t>PASSWORD</t>
  </si>
  <si>
    <t>LOGIN</t>
  </si>
  <si>
    <t>NOMBRE</t>
  </si>
  <si>
    <t>Moderadamente</t>
  </si>
  <si>
    <t>importante</t>
  </si>
  <si>
    <t>No se tiene en</t>
  </si>
  <si>
    <t>cuenta</t>
  </si>
  <si>
    <t>Muy</t>
  </si>
  <si>
    <t>¿Para el próximo trimestre, por qué medio le gustaría contestar esta encuesta?</t>
  </si>
  <si>
    <t>Fax</t>
  </si>
  <si>
    <t>Nota:  Favor actualizar datos de identificación si los que se encuentran prediligenciados no corresponden. Gracias.</t>
  </si>
  <si>
    <t>IBR_efectiva_anual_FinD</t>
  </si>
  <si>
    <t>Indicador bancario de referencia (IBR) -plazo a un mes</t>
  </si>
  <si>
    <t>IBR: %</t>
  </si>
  <si>
    <t>Último cambio</t>
  </si>
  <si>
    <t>De tres a seis meses atrás</t>
  </si>
  <si>
    <t>De seis a doce meses atrás</t>
  </si>
  <si>
    <t>Entre un año y dos años atrás</t>
  </si>
  <si>
    <t>Más de dos años atrás</t>
  </si>
  <si>
    <t xml:space="preserve"> Esta tasa de interés se cambió debido a que gradualmente los créditos comerciales (a empresas) con tasa variable son atados al IBR y no a la DTF como se hacía anteriormente.</t>
  </si>
  <si>
    <r>
      <t xml:space="preserve">P2: </t>
    </r>
    <r>
      <rPr>
        <sz val="12"/>
        <rFont val="Times New Roman"/>
        <family val="1"/>
      </rPr>
      <t xml:space="preserve">¿Cuánto prevé usted que será el incremento salarial promedio anual en términos porcentuales de su empresa para el: </t>
    </r>
  </si>
  <si>
    <r>
      <t xml:space="preserve">V.  </t>
    </r>
    <r>
      <rPr>
        <b/>
        <u/>
        <sz val="12"/>
        <rFont val="Times New Roman"/>
        <family val="1"/>
      </rPr>
      <t>Formación de precios y costos</t>
    </r>
  </si>
  <si>
    <t>P9: ¿Cuándo fue el último cambio en los precios de su principal producto? (Marque con una X la opción  que usted considera adecuada)</t>
  </si>
  <si>
    <r>
      <t xml:space="preserve">P10: </t>
    </r>
    <r>
      <rPr>
        <sz val="12"/>
        <rFont val="Times New Roman"/>
        <family val="1"/>
      </rPr>
      <t>Señale la importancia de los siguientes factores en la última revisión de precios de su empresa</t>
    </r>
  </si>
  <si>
    <r>
      <t xml:space="preserve">P11: </t>
    </r>
    <r>
      <rPr>
        <sz val="12"/>
        <rFont val="Times New Roman"/>
        <family val="1"/>
      </rPr>
      <t xml:space="preserve">¿En qué porcentaje espera que se incrementen los costos de su empresa? </t>
    </r>
  </si>
  <si>
    <r>
      <t xml:space="preserve">P12: </t>
    </r>
    <r>
      <rPr>
        <sz val="12"/>
        <rFont val="Times New Roman"/>
        <family val="1"/>
      </rPr>
      <t xml:space="preserve">¿En qué porcentaje espera se incrementen los precios de los productos y/o servicios que su empresa vende? </t>
    </r>
  </si>
  <si>
    <r>
      <t>Teléfono:</t>
    </r>
    <r>
      <rPr>
        <sz val="12"/>
        <rFont val="Times New Roman"/>
        <family val="1"/>
      </rPr>
      <t xml:space="preserve">  3430832</t>
    </r>
  </si>
  <si>
    <t>expectativas-trim@banrep.gov.co</t>
  </si>
  <si>
    <t>Dirección</t>
  </si>
  <si>
    <t>KR 7 14 78 PS 12</t>
  </si>
  <si>
    <t>Correo electrónico:</t>
  </si>
  <si>
    <r>
      <t xml:space="preserve">Fax:    </t>
    </r>
    <r>
      <rPr>
        <sz val="12"/>
        <rFont val="Times New Roman"/>
        <family val="1"/>
      </rPr>
      <t>2818531</t>
    </r>
    <r>
      <rPr>
        <b/>
        <sz val="12"/>
        <rFont val="Times New Roman"/>
        <family val="1"/>
      </rPr>
      <t xml:space="preserve"> - </t>
    </r>
    <r>
      <rPr>
        <sz val="12"/>
        <rFont val="Times New Roman"/>
        <family val="1"/>
      </rPr>
      <t>2865936</t>
    </r>
  </si>
  <si>
    <t>SGPMIE - Estadística</t>
  </si>
  <si>
    <t>SUS RESPUESTAS SERÁN MANTENIDAS BAJO ESTRICTA RESERVA POR PARTE DE LA SUBGERENCIA DE POLÍTICA MONETARIA E INFORMACIÓN ECONÓMICA</t>
  </si>
  <si>
    <r>
      <t>P6:</t>
    </r>
    <r>
      <rPr>
        <sz val="12"/>
        <rFont val="Times New Roman"/>
        <family val="1"/>
      </rPr>
      <t xml:space="preserve"> Cúal cree usted que será el valor de la tasa representativa del mercado (valor del dólar) a fin de:</t>
    </r>
  </si>
  <si>
    <r>
      <t>P5</t>
    </r>
    <r>
      <rPr>
        <b/>
        <vertAlign val="superscript"/>
        <sz val="12"/>
        <rFont val="Times New Roman"/>
        <family val="1"/>
      </rPr>
      <t>1</t>
    </r>
    <r>
      <rPr>
        <b/>
        <sz val="12"/>
        <rFont val="Times New Roman"/>
        <family val="1"/>
      </rPr>
      <t>:</t>
    </r>
    <r>
      <rPr>
        <sz val="12"/>
        <rFont val="Times New Roman"/>
        <family val="1"/>
      </rPr>
      <t xml:space="preserve"> ¿Cómo cree usted que </t>
    </r>
    <r>
      <rPr>
        <b/>
        <sz val="12"/>
        <rFont val="Times New Roman"/>
        <family val="1"/>
      </rPr>
      <t xml:space="preserve">evolucionará el IBR a un mes </t>
    </r>
    <r>
      <rPr>
        <sz val="12"/>
        <rFont val="Times New Roman"/>
        <family val="1"/>
      </rPr>
      <t xml:space="preserve">a fin de las siguientes fechas? </t>
    </r>
  </si>
  <si>
    <t xml:space="preserve"> Expectativas de inflación que tiene en el momento</t>
  </si>
  <si>
    <r>
      <rPr>
        <b/>
        <vertAlign val="superscript"/>
        <sz val="12"/>
        <rFont val="Times New Roman"/>
        <family val="1"/>
      </rPr>
      <t>1</t>
    </r>
    <r>
      <rPr>
        <sz val="12"/>
        <rFont val="Times New Roman"/>
        <family val="1"/>
      </rPr>
      <t xml:space="preserve"> A partir de la medición de abril de 2022 se pregunta por el IBR, Indicador bancario de referencia. En las mediciones anteriores se indagaba por expectativas de la tasa de interés DTF.</t>
    </r>
  </si>
  <si>
    <r>
      <t>presenta el nivel de la tasa de cambio  y  la  devaluación  anual,  respectivamente.</t>
    </r>
    <r>
      <rPr>
        <b/>
        <sz val="12"/>
        <rFont val="Times New Roman"/>
        <family val="1"/>
      </rPr>
      <t xml:space="preserve"> </t>
    </r>
  </si>
  <si>
    <r>
      <t xml:space="preserve">Nota: En el </t>
    </r>
    <r>
      <rPr>
        <b/>
        <sz val="12"/>
        <rFont val="Times New Roman"/>
        <family val="1"/>
      </rPr>
      <t>cuadro  2 y gráfico 2</t>
    </r>
    <r>
      <rPr>
        <sz val="12"/>
        <rFont val="Times New Roman"/>
        <family val="1"/>
      </rPr>
      <t xml:space="preserve"> se presenta la evolución de la tasa efectiva anual del indicador bancario de referencia (IBR) a un mes. En los </t>
    </r>
    <r>
      <rPr>
        <b/>
        <sz val="12"/>
        <rFont val="Times New Roman"/>
        <family val="1"/>
      </rPr>
      <t>cuadros y gráficos 3 y 4</t>
    </r>
    <r>
      <rPr>
        <sz val="12"/>
        <rFont val="Times New Roman"/>
        <family val="1"/>
      </rPr>
      <t xml:space="preserve"> se</t>
    </r>
  </si>
  <si>
    <t>De uno a tres meses atrás</t>
  </si>
  <si>
    <t>Menos de un mes</t>
  </si>
  <si>
    <t>cod_ent</t>
  </si>
  <si>
    <t>submuestra</t>
  </si>
  <si>
    <t>ciudad</t>
  </si>
  <si>
    <t>nom_sector</t>
  </si>
  <si>
    <t>P1_1</t>
  </si>
  <si>
    <t>P1_2</t>
  </si>
  <si>
    <t>P1_3</t>
  </si>
  <si>
    <t>P1_4</t>
  </si>
  <si>
    <t>P1_5</t>
  </si>
  <si>
    <t>P1_6</t>
  </si>
  <si>
    <t>P2_1</t>
  </si>
  <si>
    <t>P2_2</t>
  </si>
  <si>
    <t>P3</t>
  </si>
  <si>
    <t>P4</t>
  </si>
  <si>
    <t>P5_1</t>
  </si>
  <si>
    <t>P5_2</t>
  </si>
  <si>
    <t>P5_3</t>
  </si>
  <si>
    <t>P5_4</t>
  </si>
  <si>
    <t>P6_1</t>
  </si>
  <si>
    <t>P6_2</t>
  </si>
  <si>
    <t>P7_1</t>
  </si>
  <si>
    <t>P7_2</t>
  </si>
  <si>
    <t>P8_1</t>
  </si>
  <si>
    <t>P8_2</t>
  </si>
  <si>
    <t>P8_3</t>
  </si>
  <si>
    <t>P8_4</t>
  </si>
  <si>
    <t>P9</t>
  </si>
  <si>
    <t>P10_1</t>
  </si>
  <si>
    <t>P10_2</t>
  </si>
  <si>
    <t>P10_3</t>
  </si>
  <si>
    <t>P10_4</t>
  </si>
  <si>
    <t>P10_5</t>
  </si>
  <si>
    <t>P10_6</t>
  </si>
  <si>
    <t>P10_7</t>
  </si>
  <si>
    <t>P10_8</t>
  </si>
  <si>
    <t>P10_9</t>
  </si>
  <si>
    <t>P10_10</t>
  </si>
  <si>
    <t>P10_11</t>
  </si>
  <si>
    <t>P10_12</t>
  </si>
  <si>
    <t>P11_1</t>
  </si>
  <si>
    <t>P11_2</t>
  </si>
  <si>
    <t>P12_1</t>
  </si>
  <si>
    <t>P12_2</t>
  </si>
  <si>
    <t>P13</t>
  </si>
  <si>
    <t>P14</t>
  </si>
  <si>
    <t>P15</t>
  </si>
  <si>
    <t>P16</t>
  </si>
  <si>
    <t>P17</t>
  </si>
  <si>
    <t>P18_1</t>
  </si>
  <si>
    <t>P18_2</t>
  </si>
  <si>
    <t>P18_3</t>
  </si>
  <si>
    <t>P18_4</t>
  </si>
  <si>
    <t>nom_persona</t>
  </si>
  <si>
    <t>cargo</t>
  </si>
  <si>
    <t>entidad</t>
  </si>
  <si>
    <t>email</t>
  </si>
  <si>
    <t>tel</t>
  </si>
  <si>
    <t>direccion</t>
  </si>
  <si>
    <t>fecha</t>
  </si>
  <si>
    <t>medio</t>
  </si>
  <si>
    <t>sd</t>
  </si>
  <si>
    <t>Correo</t>
  </si>
  <si>
    <t>Por favor, conteste antes del 15 de octubre de 2026</t>
  </si>
  <si>
    <t>Tasa_desempleo_total_7_ciud</t>
  </si>
  <si>
    <t>Productora De Alambres Colombianos Proalco S A S</t>
  </si>
  <si>
    <t>Representante Legal</t>
  </si>
  <si>
    <t>notificacion.proalco@bekaert.com</t>
  </si>
  <si>
    <t>Aut Sur Km 25 Via Sibate Zona Industrial Muña Port 3</t>
  </si>
  <si>
    <t>7198899</t>
  </si>
  <si>
    <t>BOGOTA</t>
  </si>
  <si>
    <t>EE694-1</t>
  </si>
  <si>
    <t>2022(p)</t>
  </si>
  <si>
    <t>2023(p)</t>
  </si>
  <si>
    <t>2024(p)</t>
  </si>
  <si>
    <t>2025(p)</t>
  </si>
  <si>
    <t>2026(p)</t>
  </si>
  <si>
    <t>6.2</t>
  </si>
  <si>
    <t>6.5</t>
  </si>
  <si>
    <t>6.8</t>
  </si>
  <si>
    <t>5.5</t>
  </si>
  <si>
    <t>12.50</t>
  </si>
  <si>
    <t>12.63</t>
  </si>
  <si>
    <t>12.60</t>
  </si>
  <si>
    <t>3.2</t>
  </si>
  <si>
    <t>3.8</t>
  </si>
  <si>
    <t>4.9</t>
  </si>
  <si>
    <t>Fecha: (20/10/2026)</t>
  </si>
  <si>
    <t>7.3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</si>
</sst>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 #,##0.00_-;_-* &quot;-&quot;??_-;_-@_-"/>
    <numFmt numFmtId="164" formatCode="0.0"/>
    <numFmt numFmtId="165" formatCode="#,##0.0"/>
    <numFmt numFmtId="166" formatCode="mmm/yyyy"/>
    <numFmt numFmtId="167" formatCode="_-* #,##0_-;\-* #,##0_-;_-* &quot;-&quot;??_-;_-@_-"/>
    <numFmt numFmtId="168" formatCode="_ * #,##0_ ;_ * \-#,##0_ ;_ * &quot;-&quot;??_ ;_ @_ "/>
    <numFmt numFmtId="169" formatCode="_ * #,##0.0_ ;_ * \-#,##0.0_ ;_ * &quot;-&quot;??_ ;_ @_ "/>
  </numFmts>
  <fonts count="44" x14ac:knownFonts="1">
    <font>
      <sz val="10"/>
      <name val="Arial"/>
    </font>
    <font>
      <sz val="10"/>
      <name val="Arial"/>
      <family val="2"/>
    </font>
    <font>
      <u/>
      <sz val="10"/>
      <color indexed="12"/>
      <name val="Arial"/>
      <family val="2"/>
    </font>
    <font>
      <sz val="12"/>
      <name val="Times New Roman"/>
      <family val="1"/>
    </font>
    <font>
      <b/>
      <sz val="10"/>
      <name val="Times New Roman"/>
      <family val="1"/>
    </font>
    <font>
      <i/>
      <sz val="10"/>
      <name val="Times New Roman"/>
      <family val="1"/>
    </font>
    <font>
      <b/>
      <u/>
      <sz val="12"/>
      <name val="Times New Roman"/>
      <family val="1"/>
    </font>
    <font>
      <b/>
      <sz val="12"/>
      <name val="Times New Roman"/>
      <family val="1"/>
    </font>
    <font>
      <sz val="10"/>
      <name val="Arial"/>
      <family val="2"/>
    </font>
    <font>
      <b/>
      <sz val="14"/>
      <name val="Times New Roman"/>
      <family val="1"/>
    </font>
    <font>
      <sz val="10"/>
      <color indexed="9"/>
      <name val="Arial"/>
      <family val="2"/>
    </font>
    <font>
      <b/>
      <sz val="10"/>
      <name val="Arial"/>
      <family val="2"/>
    </font>
    <font>
      <sz val="13"/>
      <name val="Times New Roman"/>
      <family val="1"/>
    </font>
    <font>
      <b/>
      <u/>
      <sz val="16"/>
      <name val="Times New Roman"/>
      <family val="1"/>
    </font>
    <font>
      <u/>
      <sz val="13"/>
      <name val="Times New Roman"/>
      <family val="1"/>
    </font>
    <font>
      <sz val="14"/>
      <name val="Times New Roman"/>
      <family val="1"/>
    </font>
    <font>
      <sz val="10"/>
      <name val="Arial"/>
      <family val="2"/>
    </font>
    <font>
      <sz val="9"/>
      <color indexed="81"/>
      <name val="Tahoma"/>
      <family val="2"/>
    </font>
    <font>
      <b/>
      <sz val="8"/>
      <color indexed="81"/>
      <name val="Tahoma"/>
      <family val="2"/>
    </font>
    <font>
      <sz val="8"/>
      <color indexed="81"/>
      <name val="Tahoma"/>
      <family val="2"/>
    </font>
    <font>
      <u/>
      <sz val="10"/>
      <name val="Arial"/>
      <family val="2"/>
    </font>
    <font>
      <sz val="12"/>
      <color indexed="9"/>
      <name val="Times New Roman"/>
      <family val="1"/>
    </font>
    <font>
      <sz val="12"/>
      <name val="Arial"/>
      <family val="2"/>
    </font>
    <font>
      <b/>
      <sz val="12"/>
      <name val="Arial"/>
      <family val="2"/>
    </font>
    <font>
      <sz val="8"/>
      <name val="Arial"/>
      <family val="2"/>
    </font>
    <font>
      <sz val="10"/>
      <name val="Times New Roman"/>
      <family val="1"/>
    </font>
    <font>
      <b/>
      <vertAlign val="superscript"/>
      <sz val="12"/>
      <name val="Times New Roman"/>
      <family val="1"/>
    </font>
    <font>
      <sz val="11"/>
      <color theme="1"/>
      <name val="Calibri"/>
      <family val="2"/>
      <scheme val="minor"/>
    </font>
    <font>
      <b/>
      <sz val="11"/>
      <color theme="1"/>
      <name val="Calibri"/>
      <family val="2"/>
      <scheme val="minor"/>
    </font>
    <font>
      <sz val="12"/>
      <color theme="0"/>
      <name val="Times New Roman"/>
      <family val="1"/>
    </font>
    <font>
      <sz val="10"/>
      <color theme="1"/>
      <name val="Calibri"/>
      <family val="2"/>
      <scheme val="minor"/>
    </font>
    <font>
      <b/>
      <sz val="10"/>
      <color theme="1"/>
      <name val="Calibri"/>
      <family val="2"/>
      <scheme val="minor"/>
    </font>
    <font>
      <sz val="10"/>
      <color theme="0"/>
      <name val="Calibri"/>
      <family val="2"/>
      <scheme val="minor"/>
    </font>
    <font>
      <b/>
      <sz val="12"/>
      <color theme="0"/>
      <name val="Times New Roman"/>
      <family val="1"/>
    </font>
    <font>
      <b/>
      <sz val="10"/>
      <color theme="0"/>
      <name val="Arial"/>
      <family val="2"/>
    </font>
    <font>
      <sz val="10"/>
      <color theme="0"/>
      <name val="Arial"/>
      <family val="2"/>
    </font>
    <font>
      <sz val="10"/>
      <name val="Calibri"/>
      <family val="2"/>
      <scheme val="minor"/>
    </font>
    <font>
      <b/>
      <sz val="10"/>
      <color theme="0"/>
      <name val="Calibri"/>
      <family val="2"/>
      <scheme val="minor"/>
    </font>
    <font>
      <sz val="10"/>
      <color rgb="FFFF0000"/>
      <name val="Arial"/>
      <family val="2"/>
    </font>
    <font>
      <sz val="12"/>
      <color rgb="FFFF0000"/>
      <name val="Times New Roman"/>
      <family val="1"/>
    </font>
    <font>
      <b/>
      <sz val="12"/>
      <color rgb="FFFF0000"/>
      <name val="Times New Roman"/>
      <family val="1"/>
    </font>
    <font>
      <b/>
      <i/>
      <sz val="14"/>
      <color rgb="FFFF0000"/>
      <name val="Times New Roman"/>
      <family val="1"/>
    </font>
    <font>
      <sz val="10"/>
      <color theme="1"/>
      <name val="Arial"/>
      <family val="2"/>
    </font>
    <font>
      <b/>
      <i/>
      <sz val="14"/>
      <color theme="1"/>
      <name val="Times New Roman"/>
      <family val="1"/>
    </font>
  </fonts>
  <fills count="6">
    <fill>
      <patternFill patternType="none"/>
    </fill>
    <fill>
      <patternFill patternType="gray125"/>
    </fill>
    <fill>
      <patternFill patternType="solid">
        <fgColor indexed="9"/>
        <bgColor indexed="64"/>
      </patternFill>
    </fill>
    <fill>
      <patternFill patternType="solid">
        <fgColor indexed="22"/>
        <bgColor indexed="64"/>
      </patternFill>
    </fill>
    <fill>
      <patternFill patternType="solid">
        <fgColor theme="0"/>
        <bgColor indexed="64"/>
      </patternFill>
    </fill>
    <fill>
      <patternFill patternType="solid">
        <fgColor theme="0" tint="-0.249977111117893"/>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top/>
      <bottom style="medium">
        <color indexed="64"/>
      </bottom>
      <diagonal/>
    </border>
    <border>
      <left/>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9">
    <xf numFmtId="0" fontId="0" fillId="0" borderId="0"/>
    <xf numFmtId="0" fontId="2" fillId="0" borderId="0" applyNumberFormat="0" applyFill="0" applyBorder="0" applyAlignment="0" applyProtection="0">
      <alignment vertical="top"/>
      <protection locked="0"/>
    </xf>
    <xf numFmtId="43" fontId="1" fillId="0" borderId="0" applyFont="0" applyFill="0" applyBorder="0" applyAlignment="0" applyProtection="0"/>
    <xf numFmtId="43" fontId="8" fillId="0" borderId="0" applyFont="0" applyFill="0" applyBorder="0" applyAlignment="0" applyProtection="0"/>
    <xf numFmtId="0" fontId="8" fillId="0" borderId="0"/>
    <xf numFmtId="9" fontId="1" fillId="0" borderId="0" applyFont="0" applyFill="0" applyBorder="0" applyAlignment="0" applyProtection="0"/>
    <xf numFmtId="9" fontId="16"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cellStyleXfs>
  <cellXfs count="155">
    <xf numFmtId="0" fontId="0" fillId="0" borderId="0" xfId="0"/>
    <xf numFmtId="0" fontId="8" fillId="2" borderId="0" xfId="4" applyFill="1"/>
    <xf numFmtId="0" fontId="3" fillId="2" borderId="0" xfId="4" applyFont="1" applyFill="1"/>
    <xf numFmtId="0" fontId="3" fillId="3" borderId="0" xfId="4" applyFont="1" applyFill="1"/>
    <xf numFmtId="0" fontId="3" fillId="2" borderId="1" xfId="4" applyFont="1" applyFill="1" applyBorder="1" applyAlignment="1" applyProtection="1">
      <alignment horizontal="center"/>
      <protection locked="0"/>
    </xf>
    <xf numFmtId="0" fontId="7" fillId="3" borderId="2" xfId="4" applyFont="1" applyFill="1" applyBorder="1" applyAlignment="1">
      <alignment horizontal="center"/>
    </xf>
    <xf numFmtId="0" fontId="7" fillId="3" borderId="3" xfId="4" applyFont="1" applyFill="1" applyBorder="1" applyAlignment="1">
      <alignment horizontal="centerContinuous"/>
    </xf>
    <xf numFmtId="0" fontId="7" fillId="3" borderId="4" xfId="4" applyFont="1" applyFill="1" applyBorder="1" applyAlignment="1">
      <alignment horizontal="center"/>
    </xf>
    <xf numFmtId="0" fontId="7" fillId="3" borderId="1" xfId="4" applyFont="1" applyFill="1" applyBorder="1" applyAlignment="1">
      <alignment horizontal="center"/>
    </xf>
    <xf numFmtId="0" fontId="3" fillId="2" borderId="1" xfId="4" quotePrefix="1" applyFont="1" applyFill="1" applyBorder="1" applyAlignment="1" applyProtection="1">
      <alignment horizontal="center"/>
      <protection locked="0"/>
    </xf>
    <xf numFmtId="0" fontId="3" fillId="2" borderId="0" xfId="4" applyFont="1" applyFill="1" applyAlignment="1">
      <alignment horizontal="center"/>
    </xf>
    <xf numFmtId="0" fontId="7" fillId="2" borderId="0" xfId="4" applyFont="1" applyFill="1"/>
    <xf numFmtId="0" fontId="3" fillId="2" borderId="0" xfId="4" applyFont="1" applyFill="1" applyAlignment="1">
      <alignment horizontal="centerContinuous"/>
    </xf>
    <xf numFmtId="0" fontId="7" fillId="2" borderId="0" xfId="4" applyFont="1" applyFill="1" applyAlignment="1">
      <alignment horizontal="centerContinuous"/>
    </xf>
    <xf numFmtId="0" fontId="7" fillId="2" borderId="0" xfId="4" applyFont="1" applyFill="1" applyAlignment="1">
      <alignment horizontal="center"/>
    </xf>
    <xf numFmtId="0" fontId="3" fillId="2" borderId="4" xfId="4" applyFont="1" applyFill="1" applyBorder="1" applyAlignment="1" applyProtection="1">
      <alignment horizontal="center"/>
      <protection locked="0"/>
    </xf>
    <xf numFmtId="0" fontId="3" fillId="3" borderId="5" xfId="4" applyFont="1" applyFill="1" applyBorder="1" applyAlignment="1">
      <alignment horizontal="centerContinuous"/>
    </xf>
    <xf numFmtId="0" fontId="7" fillId="3" borderId="6" xfId="4" applyFont="1" applyFill="1" applyBorder="1" applyAlignment="1">
      <alignment horizontal="center"/>
    </xf>
    <xf numFmtId="0" fontId="7" fillId="3" borderId="4" xfId="4" applyFont="1" applyFill="1" applyBorder="1"/>
    <xf numFmtId="0" fontId="3" fillId="3" borderId="1" xfId="4" applyFont="1" applyFill="1" applyBorder="1" applyAlignment="1">
      <alignment horizontal="center"/>
    </xf>
    <xf numFmtId="0" fontId="3" fillId="0" borderId="1" xfId="4" applyFont="1" applyBorder="1" applyAlignment="1" applyProtection="1">
      <alignment horizontal="center"/>
      <protection locked="0"/>
    </xf>
    <xf numFmtId="0" fontId="7" fillId="3" borderId="4" xfId="4" applyFont="1" applyFill="1" applyBorder="1" applyAlignment="1">
      <alignment horizontal="center" vertical="center" wrapText="1"/>
    </xf>
    <xf numFmtId="0" fontId="7" fillId="3" borderId="2" xfId="4" applyFont="1" applyFill="1" applyBorder="1" applyAlignment="1">
      <alignment horizontal="center" vertical="center"/>
    </xf>
    <xf numFmtId="0" fontId="7" fillId="2" borderId="0" xfId="4" applyFont="1" applyFill="1" applyAlignment="1">
      <alignment horizontal="left"/>
    </xf>
    <xf numFmtId="0" fontId="3" fillId="2" borderId="1" xfId="4" applyFont="1" applyFill="1" applyBorder="1" applyAlignment="1" applyProtection="1">
      <alignment horizontal="center" vertical="center"/>
      <protection locked="0"/>
    </xf>
    <xf numFmtId="0" fontId="30" fillId="2" borderId="0" xfId="4" applyFont="1" applyFill="1"/>
    <xf numFmtId="0" fontId="30" fillId="2" borderId="0" xfId="4" applyFont="1" applyFill="1" applyAlignment="1">
      <alignment horizontal="centerContinuous"/>
    </xf>
    <xf numFmtId="0" fontId="31" fillId="2" borderId="0" xfId="4" applyFont="1" applyFill="1" applyAlignment="1">
      <alignment horizontal="center"/>
    </xf>
    <xf numFmtId="0" fontId="31" fillId="2" borderId="7" xfId="4" applyFont="1" applyFill="1" applyBorder="1" applyAlignment="1">
      <alignment horizontal="center"/>
    </xf>
    <xf numFmtId="0" fontId="30" fillId="2" borderId="0" xfId="4" applyFont="1" applyFill="1" applyAlignment="1">
      <alignment horizontal="center"/>
    </xf>
    <xf numFmtId="0" fontId="30" fillId="4" borderId="0" xfId="4" applyFont="1" applyFill="1"/>
    <xf numFmtId="0" fontId="32" fillId="2" borderId="0" xfId="4" applyFont="1" applyFill="1"/>
    <xf numFmtId="2" fontId="30" fillId="2" borderId="0" xfId="4" applyNumberFormat="1" applyFont="1" applyFill="1"/>
    <xf numFmtId="0" fontId="30" fillId="2" borderId="7" xfId="4" applyFont="1" applyFill="1" applyBorder="1"/>
    <xf numFmtId="2" fontId="30" fillId="2" borderId="7" xfId="4" applyNumberFormat="1" applyFont="1" applyFill="1" applyBorder="1"/>
    <xf numFmtId="0" fontId="30" fillId="2" borderId="0" xfId="4" applyFont="1" applyFill="1" applyAlignment="1">
      <alignment horizontal="right"/>
    </xf>
    <xf numFmtId="0" fontId="30" fillId="2" borderId="0" xfId="4" applyFont="1" applyFill="1" applyAlignment="1">
      <alignment horizontal="left"/>
    </xf>
    <xf numFmtId="2" fontId="30" fillId="4" borderId="0" xfId="4" applyNumberFormat="1" applyFont="1" applyFill="1"/>
    <xf numFmtId="2" fontId="30" fillId="2" borderId="0" xfId="4" applyNumberFormat="1" applyFont="1" applyFill="1" applyAlignment="1">
      <alignment horizontal="right"/>
    </xf>
    <xf numFmtId="0" fontId="30" fillId="0" borderId="0" xfId="4" applyFont="1"/>
    <xf numFmtId="0" fontId="30" fillId="2" borderId="7" xfId="4" applyFont="1" applyFill="1" applyBorder="1" applyAlignment="1">
      <alignment horizontal="center"/>
    </xf>
    <xf numFmtId="165" fontId="30" fillId="2" borderId="0" xfId="4" applyNumberFormat="1" applyFont="1" applyFill="1" applyAlignment="1">
      <alignment horizontal="center"/>
    </xf>
    <xf numFmtId="10" fontId="30" fillId="4" borderId="0" xfId="5" applyNumberFormat="1" applyFont="1" applyFill="1"/>
    <xf numFmtId="43" fontId="30" fillId="4" borderId="0" xfId="2" applyFont="1" applyFill="1"/>
    <xf numFmtId="0" fontId="31" fillId="2" borderId="0" xfId="4" applyFont="1" applyFill="1" applyAlignment="1">
      <alignment horizontal="centerContinuous"/>
    </xf>
    <xf numFmtId="0" fontId="30" fillId="2" borderId="0" xfId="4" quotePrefix="1" applyFont="1" applyFill="1" applyAlignment="1">
      <alignment horizontal="left"/>
    </xf>
    <xf numFmtId="167" fontId="30" fillId="2" borderId="0" xfId="2" applyNumberFormat="1" applyFont="1" applyFill="1"/>
    <xf numFmtId="0" fontId="7" fillId="3" borderId="3" xfId="4" applyFont="1" applyFill="1" applyBorder="1"/>
    <xf numFmtId="0" fontId="3" fillId="3" borderId="8" xfId="4" applyFont="1" applyFill="1" applyBorder="1"/>
    <xf numFmtId="0" fontId="3" fillId="3" borderId="5" xfId="4" applyFont="1" applyFill="1" applyBorder="1"/>
    <xf numFmtId="0" fontId="8" fillId="0" borderId="0" xfId="4"/>
    <xf numFmtId="0" fontId="8" fillId="4" borderId="0" xfId="4" applyFill="1"/>
    <xf numFmtId="0" fontId="22" fillId="0" borderId="1" xfId="4" applyFont="1" applyBorder="1"/>
    <xf numFmtId="0" fontId="23" fillId="0" borderId="1" xfId="4" applyFont="1" applyBorder="1"/>
    <xf numFmtId="0" fontId="30" fillId="4" borderId="7" xfId="4" applyFont="1" applyFill="1" applyBorder="1"/>
    <xf numFmtId="2" fontId="30" fillId="4" borderId="7" xfId="4" applyNumberFormat="1" applyFont="1" applyFill="1" applyBorder="1"/>
    <xf numFmtId="0" fontId="7" fillId="3" borderId="4" xfId="4" applyFont="1" applyFill="1" applyBorder="1" applyAlignment="1">
      <alignment vertical="center" wrapText="1"/>
    </xf>
    <xf numFmtId="0" fontId="29" fillId="4" borderId="0" xfId="4" applyFont="1" applyFill="1"/>
    <xf numFmtId="0" fontId="35" fillId="4" borderId="0" xfId="4" applyFont="1" applyFill="1"/>
    <xf numFmtId="0" fontId="29" fillId="2" borderId="0" xfId="4" applyFont="1" applyFill="1"/>
    <xf numFmtId="0" fontId="35" fillId="2" borderId="0" xfId="4" applyFont="1" applyFill="1"/>
    <xf numFmtId="0" fontId="11" fillId="2" borderId="0" xfId="4" applyFont="1" applyFill="1"/>
    <xf numFmtId="0" fontId="4" fillId="2" borderId="0" xfId="4" applyFont="1" applyFill="1" applyAlignment="1">
      <alignment horizontal="centerContinuous"/>
    </xf>
    <xf numFmtId="0" fontId="5" fillId="2" borderId="0" xfId="4" applyFont="1" applyFill="1" applyAlignment="1">
      <alignment horizontal="centerContinuous"/>
    </xf>
    <xf numFmtId="0" fontId="13" fillId="2" borderId="0" xfId="4" applyFont="1" applyFill="1"/>
    <xf numFmtId="0" fontId="14" fillId="2" borderId="0" xfId="4" applyFont="1" applyFill="1" applyAlignment="1">
      <alignment horizontal="center"/>
    </xf>
    <xf numFmtId="0" fontId="12" fillId="2" borderId="0" xfId="4" applyFont="1" applyFill="1" applyAlignment="1">
      <alignment horizontal="center"/>
    </xf>
    <xf numFmtId="0" fontId="7" fillId="3" borderId="0" xfId="4" applyFont="1" applyFill="1"/>
    <xf numFmtId="0" fontId="9" fillId="2" borderId="0" xfId="4" applyFont="1" applyFill="1"/>
    <xf numFmtId="0" fontId="15" fillId="2" borderId="0" xfId="4" applyFont="1" applyFill="1"/>
    <xf numFmtId="0" fontId="10" fillId="2" borderId="0" xfId="4" applyFont="1" applyFill="1"/>
    <xf numFmtId="10" fontId="7" fillId="5" borderId="0" xfId="4" applyNumberFormat="1" applyFont="1" applyFill="1" applyAlignment="1">
      <alignment horizontal="left"/>
    </xf>
    <xf numFmtId="10" fontId="3" fillId="3" borderId="0" xfId="4" applyNumberFormat="1" applyFont="1" applyFill="1"/>
    <xf numFmtId="10" fontId="3" fillId="2" borderId="0" xfId="7" applyNumberFormat="1" applyFont="1" applyFill="1" applyBorder="1" applyProtection="1"/>
    <xf numFmtId="0" fontId="21" fillId="2" borderId="0" xfId="4" applyFont="1" applyFill="1"/>
    <xf numFmtId="0" fontId="20" fillId="0" borderId="0" xfId="1" applyFont="1" applyBorder="1" applyAlignment="1" applyProtection="1"/>
    <xf numFmtId="166" fontId="3" fillId="2" borderId="0" xfId="4" applyNumberFormat="1" applyFont="1" applyFill="1"/>
    <xf numFmtId="0" fontId="11" fillId="2" borderId="0" xfId="4" applyFont="1" applyFill="1" applyAlignment="1">
      <alignment horizontal="left"/>
    </xf>
    <xf numFmtId="0" fontId="7" fillId="2" borderId="0" xfId="4" applyFont="1" applyFill="1" applyAlignment="1">
      <alignment vertical="center"/>
    </xf>
    <xf numFmtId="43" fontId="3" fillId="2" borderId="0" xfId="3" applyFont="1" applyFill="1" applyBorder="1" applyProtection="1"/>
    <xf numFmtId="0" fontId="3" fillId="2" borderId="0" xfId="4" applyFont="1" applyFill="1" applyAlignment="1" applyProtection="1">
      <alignment horizontal="left"/>
      <protection locked="0"/>
    </xf>
    <xf numFmtId="0" fontId="2" fillId="2" borderId="0" xfId="1" applyFill="1" applyBorder="1" applyAlignment="1" applyProtection="1">
      <alignment horizontal="left"/>
      <protection locked="0"/>
    </xf>
    <xf numFmtId="14" fontId="3" fillId="2" borderId="0" xfId="4" applyNumberFormat="1" applyFont="1" applyFill="1"/>
    <xf numFmtId="14" fontId="3" fillId="2" borderId="0" xfId="4" applyNumberFormat="1" applyFont="1" applyFill="1" applyAlignment="1" applyProtection="1">
      <alignment horizontal="left"/>
      <protection locked="0"/>
    </xf>
    <xf numFmtId="0" fontId="9" fillId="3" borderId="0" xfId="4" applyFont="1" applyFill="1"/>
    <xf numFmtId="0" fontId="7" fillId="3" borderId="9" xfId="4" applyFont="1" applyFill="1" applyBorder="1" applyAlignment="1">
      <alignment horizontal="center"/>
    </xf>
    <xf numFmtId="0" fontId="3" fillId="2" borderId="2" xfId="4" applyFont="1" applyFill="1" applyBorder="1" applyAlignment="1" applyProtection="1">
      <alignment horizontal="center"/>
      <protection locked="0"/>
    </xf>
    <xf numFmtId="0" fontId="8" fillId="2" borderId="1" xfId="4" applyFill="1" applyBorder="1"/>
    <xf numFmtId="0" fontId="7" fillId="3" borderId="1" xfId="4" applyFont="1" applyFill="1" applyBorder="1" applyAlignment="1">
      <alignment horizontal="centerContinuous"/>
    </xf>
    <xf numFmtId="0" fontId="7" fillId="3" borderId="10" xfId="4" applyFont="1" applyFill="1" applyBorder="1" applyAlignment="1">
      <alignment horizontal="center" vertical="center" wrapText="1"/>
    </xf>
    <xf numFmtId="0" fontId="7" fillId="3" borderId="11" xfId="4" applyFont="1" applyFill="1" applyBorder="1" applyAlignment="1">
      <alignment horizontal="center" vertical="center" wrapText="1"/>
    </xf>
    <xf numFmtId="0" fontId="7" fillId="3" borderId="12" xfId="4" applyFont="1" applyFill="1" applyBorder="1" applyAlignment="1">
      <alignment horizontal="center" vertical="center" wrapText="1"/>
    </xf>
    <xf numFmtId="0" fontId="7" fillId="3" borderId="13" xfId="4" applyFont="1" applyFill="1" applyBorder="1" applyAlignment="1">
      <alignment horizontal="center" vertical="center" wrapText="1"/>
    </xf>
    <xf numFmtId="0" fontId="7" fillId="3" borderId="6" xfId="4" applyFont="1" applyFill="1" applyBorder="1" applyAlignment="1">
      <alignment horizontal="center" vertical="center" wrapText="1"/>
    </xf>
    <xf numFmtId="0" fontId="7" fillId="3" borderId="10" xfId="4" applyFont="1" applyFill="1" applyBorder="1" applyAlignment="1">
      <alignment horizontal="center"/>
    </xf>
    <xf numFmtId="0" fontId="7" fillId="3" borderId="13" xfId="4" applyFont="1" applyFill="1" applyBorder="1" applyAlignment="1">
      <alignment horizontal="center"/>
    </xf>
    <xf numFmtId="0" fontId="3" fillId="2" borderId="13" xfId="4" applyFont="1" applyFill="1" applyBorder="1" applyAlignment="1" applyProtection="1">
      <alignment horizontal="center"/>
      <protection locked="0"/>
    </xf>
    <xf numFmtId="0" fontId="7" fillId="3" borderId="11" xfId="4" applyFont="1" applyFill="1" applyBorder="1" applyAlignment="1">
      <alignment horizontal="center"/>
    </xf>
    <xf numFmtId="0" fontId="8" fillId="3" borderId="1" xfId="4" applyFill="1" applyBorder="1" applyAlignment="1">
      <alignment horizontal="centerContinuous"/>
    </xf>
    <xf numFmtId="0" fontId="3" fillId="2" borderId="3" xfId="4" applyFont="1" applyFill="1" applyBorder="1" applyAlignment="1" applyProtection="1">
      <alignment horizontal="center"/>
      <protection locked="0"/>
    </xf>
    <xf numFmtId="0" fontId="3" fillId="2" borderId="5" xfId="4" applyFont="1" applyFill="1" applyBorder="1" applyAlignment="1" applyProtection="1">
      <alignment horizontal="center"/>
      <protection locked="0"/>
    </xf>
    <xf numFmtId="0" fontId="33" fillId="4" borderId="0" xfId="4" applyFont="1" applyFill="1"/>
    <xf numFmtId="0" fontId="3" fillId="2" borderId="1" xfId="4" applyFont="1" applyFill="1" applyBorder="1" applyAlignment="1">
      <alignment horizontal="left"/>
    </xf>
    <xf numFmtId="0" fontId="27" fillId="0" borderId="0" xfId="0" applyFont="1"/>
    <xf numFmtId="0" fontId="28" fillId="0" borderId="0" xfId="4" applyFont="1"/>
    <xf numFmtId="0" fontId="27" fillId="0" borderId="0" xfId="4" applyFont="1"/>
    <xf numFmtId="17" fontId="27" fillId="0" borderId="0" xfId="4" applyNumberFormat="1" applyFont="1"/>
    <xf numFmtId="4" fontId="27" fillId="0" borderId="0" xfId="2" applyNumberFormat="1" applyFont="1" applyFill="1"/>
    <xf numFmtId="43" fontId="27" fillId="0" borderId="0" xfId="2" applyFont="1" applyFill="1"/>
    <xf numFmtId="43" fontId="27" fillId="0" borderId="0" xfId="2" applyFont="1" applyFill="1" applyBorder="1"/>
    <xf numFmtId="0" fontId="36" fillId="0" borderId="0" xfId="0" applyFont="1"/>
    <xf numFmtId="0" fontId="25" fillId="2" borderId="0" xfId="4" applyFont="1" applyFill="1"/>
    <xf numFmtId="17" fontId="11" fillId="2" borderId="0" xfId="4" applyNumberFormat="1" applyFont="1" applyFill="1"/>
    <xf numFmtId="0" fontId="2" fillId="3" borderId="0" xfId="1" applyFill="1" applyBorder="1" applyAlignment="1" applyProtection="1"/>
    <xf numFmtId="0" fontId="1" fillId="2" borderId="0" xfId="4" applyFont="1" applyFill="1"/>
    <xf numFmtId="43" fontId="11" fillId="2" borderId="0" xfId="2" applyFont="1" applyFill="1" applyBorder="1" applyProtection="1"/>
    <xf numFmtId="166" fontId="3" fillId="2" borderId="0" xfId="4" applyNumberFormat="1" applyFont="1" applyFill="1" applyAlignment="1">
      <alignment horizontal="center"/>
    </xf>
    <xf numFmtId="0" fontId="3" fillId="0" borderId="0" xfId="0" applyFont="1" applyAlignment="1">
      <alignment vertical="center"/>
    </xf>
    <xf numFmtId="0" fontId="34" fillId="4" borderId="0" xfId="4" applyFont="1" applyFill="1"/>
    <xf numFmtId="0" fontId="34" fillId="4" borderId="0" xfId="4" applyFont="1" applyFill="1" applyAlignment="1">
      <alignment horizontal="right"/>
    </xf>
    <xf numFmtId="0" fontId="34" fillId="4" borderId="0" xfId="4" applyFont="1" applyFill="1" applyAlignment="1">
      <alignment horizontal="left"/>
    </xf>
    <xf numFmtId="14" fontId="34" fillId="4" borderId="0" xfId="4" applyNumberFormat="1" applyFont="1" applyFill="1"/>
    <xf numFmtId="15" fontId="34" fillId="4" borderId="0" xfId="4" applyNumberFormat="1" applyFont="1" applyFill="1"/>
    <xf numFmtId="1" fontId="35" fillId="4" borderId="0" xfId="4" applyNumberFormat="1" applyFont="1" applyFill="1"/>
    <xf numFmtId="0" fontId="3" fillId="2" borderId="0" xfId="4" applyFont="1" applyFill="1" applyAlignment="1">
      <alignment horizontal="left" vertical="top" wrapText="1"/>
    </xf>
    <xf numFmtId="0" fontId="3" fillId="0" borderId="0" xfId="4" applyFont="1" applyAlignment="1">
      <alignment horizontal="left" vertical="top" wrapText="1"/>
    </xf>
    <xf numFmtId="0" fontId="38" fillId="4" borderId="0" xfId="4" applyFont="1" applyFill="1"/>
    <xf numFmtId="0" fontId="3" fillId="3" borderId="5" xfId="4" applyFont="1" applyFill="1" applyBorder="1" applyAlignment="1">
      <alignment horizontal="center"/>
    </xf>
    <xf numFmtId="0" fontId="7" fillId="3" borderId="3" xfId="4" applyFont="1" applyFill="1" applyBorder="1" applyAlignment="1">
      <alignment horizontal="center"/>
    </xf>
    <xf numFmtId="0" fontId="3" fillId="2" borderId="0" xfId="4" applyFont="1" applyFill="1" applyAlignment="1">
      <alignment horizontal="left" vertical="top"/>
    </xf>
    <xf numFmtId="0" fontId="3" fillId="0" borderId="0" xfId="4" applyFont="1" applyAlignment="1">
      <alignment horizontal="left" vertical="top"/>
    </xf>
    <xf numFmtId="166" fontId="35" fillId="4" borderId="0" xfId="4" applyNumberFormat="1" applyFont="1" applyFill="1"/>
    <xf numFmtId="164" fontId="34" fillId="4" borderId="0" xfId="4" applyNumberFormat="1" applyFont="1" applyFill="1" applyAlignment="1">
      <alignment horizontal="center"/>
    </xf>
    <xf numFmtId="0" fontId="39" fillId="2" borderId="0" xfId="4" applyFont="1" applyFill="1"/>
    <xf numFmtId="0" fontId="40" fillId="2" borderId="0" xfId="4" applyFont="1" applyFill="1"/>
    <xf numFmtId="0" fontId="38" fillId="2" borderId="0" xfId="4" applyFont="1" applyFill="1"/>
    <xf numFmtId="0" fontId="41" fillId="2" borderId="0" xfId="4" applyFont="1" applyFill="1" applyAlignment="1">
      <alignment horizontal="centerContinuous"/>
    </xf>
    <xf numFmtId="0" fontId="37" fillId="4" borderId="0" xfId="0" applyFont="1" applyFill="1" applyAlignment="1">
      <alignment horizontal="left"/>
    </xf>
    <xf numFmtId="43" fontId="37" fillId="4" borderId="0" xfId="2" applyFont="1" applyFill="1" applyBorder="1" applyAlignment="1" applyProtection="1">
      <alignment horizontal="left"/>
    </xf>
    <xf numFmtId="168" fontId="37" fillId="4" borderId="0" xfId="2" applyNumberFormat="1" applyFont="1" applyFill="1" applyBorder="1" applyAlignment="1" applyProtection="1">
      <alignment horizontal="left"/>
    </xf>
    <xf numFmtId="169" fontId="37" fillId="4" borderId="0" xfId="2" applyNumberFormat="1" applyFont="1" applyFill="1" applyBorder="1" applyAlignment="1">
      <alignment horizontal="left"/>
    </xf>
    <xf numFmtId="14" fontId="37" fillId="4" borderId="0" xfId="0" applyNumberFormat="1" applyFont="1" applyFill="1" applyAlignment="1">
      <alignment horizontal="left"/>
    </xf>
    <xf numFmtId="15" fontId="35" fillId="4" borderId="0" xfId="4" applyNumberFormat="1" applyFont="1" applyFill="1"/>
    <xf numFmtId="0" fontId="43" fillId="2" borderId="0" xfId="4" applyFont="1" applyFill="1" applyAlignment="1">
      <alignment horizontal="centerContinuous"/>
    </xf>
    <xf numFmtId="0" fontId="42" fillId="4" borderId="0" xfId="4" applyFont="1" applyFill="1"/>
    <xf numFmtId="0" fontId="31" fillId="2" borderId="0" xfId="4" quotePrefix="1" applyFont="1" applyFill="1" applyAlignment="1">
      <alignment horizontal="center"/>
    </xf>
    <xf numFmtId="0" fontId="31" fillId="2" borderId="0" xfId="4" applyFont="1" applyFill="1" applyAlignment="1">
      <alignment horizontal="right"/>
    </xf>
    <xf numFmtId="0" fontId="30" fillId="2" borderId="0" xfId="4" applyFont="1" applyFill="1" applyAlignment="1">
      <alignment horizontal="center"/>
    </xf>
    <xf numFmtId="0" fontId="31" fillId="2" borderId="0" xfId="4" applyFont="1" applyFill="1" applyAlignment="1">
      <alignment horizontal="center"/>
    </xf>
    <xf numFmtId="0" fontId="31" fillId="2" borderId="7" xfId="4" applyFont="1" applyFill="1" applyBorder="1" applyAlignment="1">
      <alignment horizontal="center"/>
    </xf>
    <xf numFmtId="0" fontId="30" fillId="2" borderId="7" xfId="4" quotePrefix="1" applyFont="1" applyFill="1" applyBorder="1" applyAlignment="1">
      <alignment horizontal="center"/>
    </xf>
    <xf numFmtId="0" fontId="30" fillId="2" borderId="7" xfId="4" applyFont="1" applyFill="1" applyBorder="1" applyAlignment="1">
      <alignment horizontal="center"/>
    </xf>
    <xf numFmtId="0" fontId="30" fillId="4" borderId="0" xfId="4" applyFont="1" applyFill="1"/>
    <xf numFmtId="3" fontId="3" fillId="2" borderId="4" xfId="4" applyNumberFormat="1" applyFont="1" applyFill="1" applyBorder="1" applyAlignment="1" applyProtection="1">
      <alignment horizontal="center"/>
      <protection locked="0"/>
    </xf>
    <xf numFmtId="3" fontId="3" fillId="2" borderId="1" xfId="4" applyNumberFormat="1" applyFont="1" applyFill="1" applyBorder="1" applyAlignment="1" applyProtection="1">
      <alignment horizontal="center"/>
      <protection locked="0"/>
    </xf>
  </cellXfs>
  <cellStyles count="9">
    <cellStyle name="Hipervínculo" xfId="1" builtinId="8"/>
    <cellStyle name="Millares" xfId="2" builtinId="3"/>
    <cellStyle name="Millares 2" xfId="3" xr:uid="{00000000-0005-0000-0000-000002000000}"/>
    <cellStyle name="Normal" xfId="0" builtinId="0"/>
    <cellStyle name="Normal 2" xfId="4" xr:uid="{00000000-0005-0000-0000-000004000000}"/>
    <cellStyle name="Porcentaje" xfId="5" builtinId="5"/>
    <cellStyle name="Porcentaje 2" xfId="6" xr:uid="{00000000-0005-0000-0000-000006000000}"/>
    <cellStyle name="Porcentaje 3" xfId="7" xr:uid="{00000000-0005-0000-0000-000007000000}"/>
    <cellStyle name="Porcentual 2" xfId="8" xr:uid="{00000000-0005-0000-0000-000008000000}"/>
  </cellStyles>
  <dxfs count="39">
    <dxf>
      <font>
        <color rgb="FF9C0006"/>
      </font>
      <fill>
        <patternFill>
          <bgColor rgb="FFFFC7CE"/>
        </patternFill>
      </fill>
    </dxf>
    <dxf>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ill>
        <patternFill>
          <bgColor rgb="FFFFFF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D7053240-CE69-11CD-A777-00DD01143C57}" ax:persistence="persistStreamInit" r:id="rId1"/>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i="0" u="none" strike="noStrike" baseline="0">
                <a:solidFill>
                  <a:srgbClr val="333333"/>
                </a:solidFill>
                <a:latin typeface="Calibri"/>
                <a:ea typeface="Calibri"/>
                <a:cs typeface="Calibri"/>
              </a:defRPr>
            </a:pPr>
            <a:r>
              <a:rPr lang="es-ES"/>
              <a:t>Inflación anual (%)</a:t>
            </a:r>
          </a:p>
        </c:rich>
      </c:tx>
      <c:overlay val="0"/>
      <c:spPr>
        <a:noFill/>
        <a:ln w="25400">
          <a:noFill/>
        </a:ln>
      </c:spPr>
    </c:title>
    <c:autoTitleDeleted val="0"/>
    <c:plotArea>
      <c:layout>
        <c:manualLayout>
          <c:layoutTarget val="inner"/>
          <c:xMode val="edge"/>
          <c:yMode val="edge"/>
          <c:x val="0.11664509848028706"/>
          <c:y val="0.14280181345698259"/>
          <c:w val="0.84706735871885497"/>
          <c:h val="0.66249237081013013"/>
        </c:manualLayout>
      </c:layout>
      <c:lineChart>
        <c:grouping val="standard"/>
        <c:varyColors val="0"/>
        <c:ser>
          <c:idx val="0"/>
          <c:order val="0"/>
          <c:tx>
            <c:strRef>
              <c:f>Mes!$B$1</c:f>
              <c:strCache>
                <c:ptCount val="1"/>
                <c:pt idx="0">
                  <c:v>Inflacion_anual</c:v>
                </c:pt>
              </c:strCache>
            </c:strRef>
          </c:tx>
          <c:spPr>
            <a:ln w="28575" cap="rnd">
              <a:solidFill>
                <a:schemeClr val="accent1"/>
              </a:solidFill>
              <a:round/>
            </a:ln>
            <a:effectLst/>
          </c:spPr>
          <c:marker>
            <c:symbol val="none"/>
          </c:marker>
          <c:cat>
            <c:numRef>
              <c:f>Mes!$A$2:$A$203</c:f>
              <c:numCache>
                <c:formatCode>mmm\-yy</c:formatCode>
                <c:ptCount val="202"/>
                <c:pt idx="0">
                  <c:v>40148</c:v>
                </c:pt>
                <c:pt idx="1">
                  <c:v>40179</c:v>
                </c:pt>
                <c:pt idx="2">
                  <c:v>40210</c:v>
                </c:pt>
                <c:pt idx="3">
                  <c:v>40238</c:v>
                </c:pt>
                <c:pt idx="4">
                  <c:v>40269</c:v>
                </c:pt>
                <c:pt idx="5">
                  <c:v>40299</c:v>
                </c:pt>
                <c:pt idx="6">
                  <c:v>40330</c:v>
                </c:pt>
                <c:pt idx="7">
                  <c:v>40360</c:v>
                </c:pt>
                <c:pt idx="8">
                  <c:v>40391</c:v>
                </c:pt>
                <c:pt idx="9">
                  <c:v>40422</c:v>
                </c:pt>
                <c:pt idx="10">
                  <c:v>40452</c:v>
                </c:pt>
                <c:pt idx="11">
                  <c:v>40483</c:v>
                </c:pt>
                <c:pt idx="12">
                  <c:v>40513</c:v>
                </c:pt>
                <c:pt idx="13">
                  <c:v>40544</c:v>
                </c:pt>
                <c:pt idx="14">
                  <c:v>40575</c:v>
                </c:pt>
                <c:pt idx="15">
                  <c:v>40603</c:v>
                </c:pt>
                <c:pt idx="16">
                  <c:v>40634</c:v>
                </c:pt>
                <c:pt idx="17">
                  <c:v>40664</c:v>
                </c:pt>
                <c:pt idx="18">
                  <c:v>40695</c:v>
                </c:pt>
                <c:pt idx="19">
                  <c:v>40725</c:v>
                </c:pt>
                <c:pt idx="20">
                  <c:v>40756</c:v>
                </c:pt>
                <c:pt idx="21">
                  <c:v>40787</c:v>
                </c:pt>
                <c:pt idx="22">
                  <c:v>40817</c:v>
                </c:pt>
                <c:pt idx="23">
                  <c:v>40848</c:v>
                </c:pt>
                <c:pt idx="24">
                  <c:v>40878</c:v>
                </c:pt>
                <c:pt idx="25">
                  <c:v>40909</c:v>
                </c:pt>
                <c:pt idx="26">
                  <c:v>40940</c:v>
                </c:pt>
                <c:pt idx="27">
                  <c:v>40969</c:v>
                </c:pt>
                <c:pt idx="28">
                  <c:v>41000</c:v>
                </c:pt>
                <c:pt idx="29">
                  <c:v>41030</c:v>
                </c:pt>
                <c:pt idx="30">
                  <c:v>41061</c:v>
                </c:pt>
                <c:pt idx="31">
                  <c:v>41091</c:v>
                </c:pt>
                <c:pt idx="32">
                  <c:v>41122</c:v>
                </c:pt>
                <c:pt idx="33">
                  <c:v>41153</c:v>
                </c:pt>
                <c:pt idx="34">
                  <c:v>41183</c:v>
                </c:pt>
                <c:pt idx="35">
                  <c:v>41214</c:v>
                </c:pt>
                <c:pt idx="36">
                  <c:v>41244</c:v>
                </c:pt>
                <c:pt idx="37">
                  <c:v>41275</c:v>
                </c:pt>
                <c:pt idx="38">
                  <c:v>41306</c:v>
                </c:pt>
                <c:pt idx="39">
                  <c:v>41334</c:v>
                </c:pt>
                <c:pt idx="40">
                  <c:v>41365</c:v>
                </c:pt>
                <c:pt idx="41">
                  <c:v>41395</c:v>
                </c:pt>
                <c:pt idx="42">
                  <c:v>41426</c:v>
                </c:pt>
                <c:pt idx="43">
                  <c:v>41456</c:v>
                </c:pt>
                <c:pt idx="44">
                  <c:v>41487</c:v>
                </c:pt>
                <c:pt idx="45">
                  <c:v>41518</c:v>
                </c:pt>
                <c:pt idx="46">
                  <c:v>41548</c:v>
                </c:pt>
                <c:pt idx="47">
                  <c:v>41579</c:v>
                </c:pt>
                <c:pt idx="48">
                  <c:v>41609</c:v>
                </c:pt>
                <c:pt idx="49">
                  <c:v>41640</c:v>
                </c:pt>
                <c:pt idx="50">
                  <c:v>41671</c:v>
                </c:pt>
                <c:pt idx="51">
                  <c:v>41699</c:v>
                </c:pt>
                <c:pt idx="52">
                  <c:v>41730</c:v>
                </c:pt>
                <c:pt idx="53">
                  <c:v>41760</c:v>
                </c:pt>
                <c:pt idx="54">
                  <c:v>41791</c:v>
                </c:pt>
                <c:pt idx="55">
                  <c:v>41821</c:v>
                </c:pt>
                <c:pt idx="56">
                  <c:v>41852</c:v>
                </c:pt>
                <c:pt idx="57">
                  <c:v>41883</c:v>
                </c:pt>
                <c:pt idx="58">
                  <c:v>41913</c:v>
                </c:pt>
                <c:pt idx="59">
                  <c:v>41944</c:v>
                </c:pt>
                <c:pt idx="60">
                  <c:v>41974</c:v>
                </c:pt>
                <c:pt idx="61">
                  <c:v>42005</c:v>
                </c:pt>
                <c:pt idx="62">
                  <c:v>42036</c:v>
                </c:pt>
                <c:pt idx="63">
                  <c:v>42064</c:v>
                </c:pt>
                <c:pt idx="64">
                  <c:v>42095</c:v>
                </c:pt>
                <c:pt idx="65">
                  <c:v>42125</c:v>
                </c:pt>
                <c:pt idx="66">
                  <c:v>42156</c:v>
                </c:pt>
                <c:pt idx="67">
                  <c:v>42186</c:v>
                </c:pt>
                <c:pt idx="68">
                  <c:v>42217</c:v>
                </c:pt>
                <c:pt idx="69">
                  <c:v>42248</c:v>
                </c:pt>
                <c:pt idx="70">
                  <c:v>42278</c:v>
                </c:pt>
                <c:pt idx="71">
                  <c:v>42309</c:v>
                </c:pt>
                <c:pt idx="72">
                  <c:v>42339</c:v>
                </c:pt>
                <c:pt idx="73">
                  <c:v>42370</c:v>
                </c:pt>
                <c:pt idx="74">
                  <c:v>42401</c:v>
                </c:pt>
                <c:pt idx="75">
                  <c:v>42430</c:v>
                </c:pt>
                <c:pt idx="76">
                  <c:v>42461</c:v>
                </c:pt>
                <c:pt idx="77">
                  <c:v>42491</c:v>
                </c:pt>
                <c:pt idx="78">
                  <c:v>42522</c:v>
                </c:pt>
                <c:pt idx="79">
                  <c:v>42552</c:v>
                </c:pt>
                <c:pt idx="80">
                  <c:v>42583</c:v>
                </c:pt>
                <c:pt idx="81">
                  <c:v>42614</c:v>
                </c:pt>
                <c:pt idx="82">
                  <c:v>42644</c:v>
                </c:pt>
                <c:pt idx="83">
                  <c:v>42675</c:v>
                </c:pt>
                <c:pt idx="84">
                  <c:v>42705</c:v>
                </c:pt>
                <c:pt idx="85">
                  <c:v>42736</c:v>
                </c:pt>
                <c:pt idx="86">
                  <c:v>42767</c:v>
                </c:pt>
                <c:pt idx="87">
                  <c:v>42795</c:v>
                </c:pt>
                <c:pt idx="88">
                  <c:v>42826</c:v>
                </c:pt>
                <c:pt idx="89">
                  <c:v>42856</c:v>
                </c:pt>
                <c:pt idx="90">
                  <c:v>42887</c:v>
                </c:pt>
                <c:pt idx="91">
                  <c:v>42917</c:v>
                </c:pt>
                <c:pt idx="92">
                  <c:v>42948</c:v>
                </c:pt>
                <c:pt idx="93">
                  <c:v>42979</c:v>
                </c:pt>
                <c:pt idx="94">
                  <c:v>43009</c:v>
                </c:pt>
                <c:pt idx="95">
                  <c:v>43040</c:v>
                </c:pt>
                <c:pt idx="96">
                  <c:v>43070</c:v>
                </c:pt>
                <c:pt idx="97">
                  <c:v>43101</c:v>
                </c:pt>
                <c:pt idx="98">
                  <c:v>43132</c:v>
                </c:pt>
                <c:pt idx="99">
                  <c:v>43160</c:v>
                </c:pt>
                <c:pt idx="100">
                  <c:v>43191</c:v>
                </c:pt>
                <c:pt idx="101">
                  <c:v>43221</c:v>
                </c:pt>
                <c:pt idx="102">
                  <c:v>43252</c:v>
                </c:pt>
                <c:pt idx="103">
                  <c:v>43282</c:v>
                </c:pt>
                <c:pt idx="104">
                  <c:v>43313</c:v>
                </c:pt>
                <c:pt idx="105">
                  <c:v>43344</c:v>
                </c:pt>
                <c:pt idx="106">
                  <c:v>43374</c:v>
                </c:pt>
                <c:pt idx="107">
                  <c:v>43405</c:v>
                </c:pt>
                <c:pt idx="108">
                  <c:v>43435</c:v>
                </c:pt>
                <c:pt idx="109">
                  <c:v>43466</c:v>
                </c:pt>
                <c:pt idx="110">
                  <c:v>43497</c:v>
                </c:pt>
                <c:pt idx="111">
                  <c:v>43525</c:v>
                </c:pt>
                <c:pt idx="112">
                  <c:v>43556</c:v>
                </c:pt>
                <c:pt idx="113">
                  <c:v>43586</c:v>
                </c:pt>
                <c:pt idx="114">
                  <c:v>43617</c:v>
                </c:pt>
                <c:pt idx="115">
                  <c:v>43647</c:v>
                </c:pt>
                <c:pt idx="116">
                  <c:v>43678</c:v>
                </c:pt>
                <c:pt idx="117">
                  <c:v>43709</c:v>
                </c:pt>
                <c:pt idx="118">
                  <c:v>43739</c:v>
                </c:pt>
                <c:pt idx="119">
                  <c:v>43770</c:v>
                </c:pt>
                <c:pt idx="120">
                  <c:v>43800</c:v>
                </c:pt>
                <c:pt idx="121">
                  <c:v>43831</c:v>
                </c:pt>
                <c:pt idx="122">
                  <c:v>43862</c:v>
                </c:pt>
                <c:pt idx="123">
                  <c:v>43891</c:v>
                </c:pt>
                <c:pt idx="124">
                  <c:v>43922</c:v>
                </c:pt>
                <c:pt idx="125">
                  <c:v>43952</c:v>
                </c:pt>
                <c:pt idx="126">
                  <c:v>43983</c:v>
                </c:pt>
                <c:pt idx="127">
                  <c:v>44013</c:v>
                </c:pt>
                <c:pt idx="128">
                  <c:v>44044</c:v>
                </c:pt>
                <c:pt idx="129">
                  <c:v>44075</c:v>
                </c:pt>
                <c:pt idx="130">
                  <c:v>44105</c:v>
                </c:pt>
                <c:pt idx="131">
                  <c:v>44136</c:v>
                </c:pt>
                <c:pt idx="132">
                  <c:v>44166</c:v>
                </c:pt>
                <c:pt idx="133">
                  <c:v>44197</c:v>
                </c:pt>
                <c:pt idx="134">
                  <c:v>44228</c:v>
                </c:pt>
                <c:pt idx="135">
                  <c:v>44256</c:v>
                </c:pt>
                <c:pt idx="136">
                  <c:v>44287</c:v>
                </c:pt>
                <c:pt idx="137">
                  <c:v>44317</c:v>
                </c:pt>
                <c:pt idx="138">
                  <c:v>44348</c:v>
                </c:pt>
                <c:pt idx="139">
                  <c:v>44378</c:v>
                </c:pt>
                <c:pt idx="140">
                  <c:v>44409</c:v>
                </c:pt>
                <c:pt idx="141">
                  <c:v>44440</c:v>
                </c:pt>
                <c:pt idx="142">
                  <c:v>44470</c:v>
                </c:pt>
                <c:pt idx="143">
                  <c:v>44501</c:v>
                </c:pt>
                <c:pt idx="144">
                  <c:v>44531</c:v>
                </c:pt>
                <c:pt idx="145">
                  <c:v>44562</c:v>
                </c:pt>
                <c:pt idx="146">
                  <c:v>44593</c:v>
                </c:pt>
                <c:pt idx="147">
                  <c:v>44621</c:v>
                </c:pt>
                <c:pt idx="148">
                  <c:v>44652</c:v>
                </c:pt>
                <c:pt idx="149">
                  <c:v>44682</c:v>
                </c:pt>
                <c:pt idx="150">
                  <c:v>44713</c:v>
                </c:pt>
                <c:pt idx="151">
                  <c:v>44743</c:v>
                </c:pt>
                <c:pt idx="152">
                  <c:v>44774</c:v>
                </c:pt>
                <c:pt idx="153">
                  <c:v>44805</c:v>
                </c:pt>
                <c:pt idx="154">
                  <c:v>44835</c:v>
                </c:pt>
                <c:pt idx="155">
                  <c:v>44866</c:v>
                </c:pt>
                <c:pt idx="156">
                  <c:v>44896</c:v>
                </c:pt>
                <c:pt idx="157">
                  <c:v>44927</c:v>
                </c:pt>
                <c:pt idx="158">
                  <c:v>44958</c:v>
                </c:pt>
                <c:pt idx="159">
                  <c:v>44986</c:v>
                </c:pt>
                <c:pt idx="160">
                  <c:v>45017</c:v>
                </c:pt>
                <c:pt idx="161">
                  <c:v>45047</c:v>
                </c:pt>
                <c:pt idx="162">
                  <c:v>45078</c:v>
                </c:pt>
                <c:pt idx="163">
                  <c:v>45108</c:v>
                </c:pt>
                <c:pt idx="164">
                  <c:v>45139</c:v>
                </c:pt>
                <c:pt idx="165">
                  <c:v>45170</c:v>
                </c:pt>
                <c:pt idx="166">
                  <c:v>45200</c:v>
                </c:pt>
                <c:pt idx="167">
                  <c:v>45231</c:v>
                </c:pt>
                <c:pt idx="168">
                  <c:v>45261</c:v>
                </c:pt>
                <c:pt idx="169">
                  <c:v>45292</c:v>
                </c:pt>
                <c:pt idx="170">
                  <c:v>45323</c:v>
                </c:pt>
                <c:pt idx="171">
                  <c:v>45352</c:v>
                </c:pt>
                <c:pt idx="172">
                  <c:v>45383</c:v>
                </c:pt>
                <c:pt idx="173">
                  <c:v>45413</c:v>
                </c:pt>
                <c:pt idx="174">
                  <c:v>45444</c:v>
                </c:pt>
                <c:pt idx="175">
                  <c:v>45474</c:v>
                </c:pt>
                <c:pt idx="176">
                  <c:v>45505</c:v>
                </c:pt>
                <c:pt idx="177">
                  <c:v>45536</c:v>
                </c:pt>
                <c:pt idx="178">
                  <c:v>45566</c:v>
                </c:pt>
                <c:pt idx="179">
                  <c:v>45597</c:v>
                </c:pt>
                <c:pt idx="180">
                  <c:v>45627</c:v>
                </c:pt>
                <c:pt idx="181">
                  <c:v>45658</c:v>
                </c:pt>
                <c:pt idx="182">
                  <c:v>45689</c:v>
                </c:pt>
                <c:pt idx="183">
                  <c:v>45717</c:v>
                </c:pt>
                <c:pt idx="184">
                  <c:v>45748</c:v>
                </c:pt>
                <c:pt idx="185">
                  <c:v>45778</c:v>
                </c:pt>
                <c:pt idx="186">
                  <c:v>45809</c:v>
                </c:pt>
                <c:pt idx="187">
                  <c:v>45839</c:v>
                </c:pt>
                <c:pt idx="188">
                  <c:v>45870</c:v>
                </c:pt>
                <c:pt idx="189">
                  <c:v>45901</c:v>
                </c:pt>
                <c:pt idx="190">
                  <c:v>45931</c:v>
                </c:pt>
                <c:pt idx="191">
                  <c:v>45962</c:v>
                </c:pt>
                <c:pt idx="192">
                  <c:v>45992</c:v>
                </c:pt>
                <c:pt idx="193">
                  <c:v>46023</c:v>
                </c:pt>
                <c:pt idx="194">
                  <c:v>46054</c:v>
                </c:pt>
                <c:pt idx="195">
                  <c:v>46082</c:v>
                </c:pt>
                <c:pt idx="196">
                  <c:v>46113</c:v>
                </c:pt>
                <c:pt idx="197">
                  <c:v>46143</c:v>
                </c:pt>
                <c:pt idx="198">
                  <c:v>46174</c:v>
                </c:pt>
                <c:pt idx="199">
                  <c:v>46204</c:v>
                </c:pt>
                <c:pt idx="200">
                  <c:v>46235</c:v>
                </c:pt>
                <c:pt idx="201">
                  <c:v>46266</c:v>
                </c:pt>
              </c:numCache>
            </c:numRef>
          </c:cat>
          <c:val>
            <c:numRef>
              <c:f>Mes!$B$2:$B$203</c:f>
              <c:numCache>
                <c:formatCode>#,##0.00</c:formatCode>
                <c:ptCount val="202"/>
                <c:pt idx="0">
                  <c:v>2</c:v>
                </c:pt>
                <c:pt idx="1">
                  <c:v>2.1</c:v>
                </c:pt>
                <c:pt idx="2">
                  <c:v>2.09</c:v>
                </c:pt>
                <c:pt idx="3">
                  <c:v>1.84</c:v>
                </c:pt>
                <c:pt idx="4">
                  <c:v>1.98</c:v>
                </c:pt>
                <c:pt idx="5">
                  <c:v>2.0699999999999998</c:v>
                </c:pt>
                <c:pt idx="6">
                  <c:v>2.25</c:v>
                </c:pt>
                <c:pt idx="7">
                  <c:v>2.2400000000000002</c:v>
                </c:pt>
                <c:pt idx="8">
                  <c:v>2.31</c:v>
                </c:pt>
                <c:pt idx="9">
                  <c:v>2.2799999999999998</c:v>
                </c:pt>
                <c:pt idx="10">
                  <c:v>2.33</c:v>
                </c:pt>
                <c:pt idx="11">
                  <c:v>2.59</c:v>
                </c:pt>
                <c:pt idx="12">
                  <c:v>3.17</c:v>
                </c:pt>
                <c:pt idx="13">
                  <c:v>3.4</c:v>
                </c:pt>
                <c:pt idx="14">
                  <c:v>3.17</c:v>
                </c:pt>
                <c:pt idx="15">
                  <c:v>3.19</c:v>
                </c:pt>
                <c:pt idx="16">
                  <c:v>2.84</c:v>
                </c:pt>
                <c:pt idx="17">
                  <c:v>3.02</c:v>
                </c:pt>
                <c:pt idx="18">
                  <c:v>3.23</c:v>
                </c:pt>
                <c:pt idx="19">
                  <c:v>3.42</c:v>
                </c:pt>
                <c:pt idx="20">
                  <c:v>3.27</c:v>
                </c:pt>
                <c:pt idx="21">
                  <c:v>3.73</c:v>
                </c:pt>
                <c:pt idx="22">
                  <c:v>4.0199999999999996</c:v>
                </c:pt>
                <c:pt idx="23">
                  <c:v>3.96</c:v>
                </c:pt>
                <c:pt idx="24">
                  <c:v>3.73</c:v>
                </c:pt>
                <c:pt idx="25">
                  <c:v>3.54</c:v>
                </c:pt>
                <c:pt idx="26">
                  <c:v>3.55</c:v>
                </c:pt>
                <c:pt idx="27">
                  <c:v>3.4</c:v>
                </c:pt>
                <c:pt idx="28">
                  <c:v>3.43</c:v>
                </c:pt>
                <c:pt idx="29">
                  <c:v>3.44</c:v>
                </c:pt>
                <c:pt idx="30">
                  <c:v>3.2</c:v>
                </c:pt>
                <c:pt idx="31">
                  <c:v>3.03</c:v>
                </c:pt>
                <c:pt idx="32">
                  <c:v>3.11</c:v>
                </c:pt>
                <c:pt idx="33">
                  <c:v>3.08</c:v>
                </c:pt>
                <c:pt idx="34">
                  <c:v>3.06</c:v>
                </c:pt>
                <c:pt idx="35">
                  <c:v>2.77</c:v>
                </c:pt>
                <c:pt idx="36">
                  <c:v>2.44</c:v>
                </c:pt>
                <c:pt idx="37">
                  <c:v>2</c:v>
                </c:pt>
                <c:pt idx="38">
                  <c:v>1.83</c:v>
                </c:pt>
                <c:pt idx="39">
                  <c:v>1.91</c:v>
                </c:pt>
                <c:pt idx="40">
                  <c:v>2.02</c:v>
                </c:pt>
                <c:pt idx="41">
                  <c:v>2</c:v>
                </c:pt>
                <c:pt idx="42">
                  <c:v>2.16</c:v>
                </c:pt>
                <c:pt idx="43">
                  <c:v>2.2200000000000002</c:v>
                </c:pt>
                <c:pt idx="44">
                  <c:v>2.27</c:v>
                </c:pt>
                <c:pt idx="45">
                  <c:v>2.27</c:v>
                </c:pt>
                <c:pt idx="46">
                  <c:v>1.84</c:v>
                </c:pt>
                <c:pt idx="47">
                  <c:v>1.76</c:v>
                </c:pt>
                <c:pt idx="48">
                  <c:v>1.94</c:v>
                </c:pt>
                <c:pt idx="49">
                  <c:v>2.13</c:v>
                </c:pt>
                <c:pt idx="50">
                  <c:v>2.3199999999999998</c:v>
                </c:pt>
                <c:pt idx="51">
                  <c:v>2.5099999999999998</c:v>
                </c:pt>
                <c:pt idx="52">
                  <c:v>2.72</c:v>
                </c:pt>
                <c:pt idx="53">
                  <c:v>2.93</c:v>
                </c:pt>
                <c:pt idx="54">
                  <c:v>2.79</c:v>
                </c:pt>
                <c:pt idx="55">
                  <c:v>2.89</c:v>
                </c:pt>
                <c:pt idx="56">
                  <c:v>3.02</c:v>
                </c:pt>
                <c:pt idx="57">
                  <c:v>2.86</c:v>
                </c:pt>
                <c:pt idx="58">
                  <c:v>3.29</c:v>
                </c:pt>
                <c:pt idx="59">
                  <c:v>3.65</c:v>
                </c:pt>
                <c:pt idx="60">
                  <c:v>3.66</c:v>
                </c:pt>
                <c:pt idx="61">
                  <c:v>3.82</c:v>
                </c:pt>
                <c:pt idx="62">
                  <c:v>4.3600000000000003</c:v>
                </c:pt>
                <c:pt idx="63">
                  <c:v>4.5599999999999996</c:v>
                </c:pt>
                <c:pt idx="64">
                  <c:v>4.6399999999999997</c:v>
                </c:pt>
                <c:pt idx="65">
                  <c:v>4.41</c:v>
                </c:pt>
                <c:pt idx="66">
                  <c:v>4.42</c:v>
                </c:pt>
                <c:pt idx="67">
                  <c:v>4.46</c:v>
                </c:pt>
                <c:pt idx="68">
                  <c:v>4.74</c:v>
                </c:pt>
                <c:pt idx="69">
                  <c:v>5.35</c:v>
                </c:pt>
                <c:pt idx="70">
                  <c:v>5.89</c:v>
                </c:pt>
                <c:pt idx="71">
                  <c:v>6.39</c:v>
                </c:pt>
                <c:pt idx="72">
                  <c:v>6.77</c:v>
                </c:pt>
                <c:pt idx="73">
                  <c:v>7.45</c:v>
                </c:pt>
                <c:pt idx="74">
                  <c:v>7.59</c:v>
                </c:pt>
                <c:pt idx="75">
                  <c:v>7.98</c:v>
                </c:pt>
                <c:pt idx="76">
                  <c:v>7.93</c:v>
                </c:pt>
                <c:pt idx="77">
                  <c:v>8.1999999999999993</c:v>
                </c:pt>
                <c:pt idx="78">
                  <c:v>8.6</c:v>
                </c:pt>
                <c:pt idx="79">
                  <c:v>8.9700000000000006</c:v>
                </c:pt>
                <c:pt idx="80">
                  <c:v>8.1</c:v>
                </c:pt>
                <c:pt idx="81">
                  <c:v>7.27</c:v>
                </c:pt>
                <c:pt idx="82">
                  <c:v>6.48</c:v>
                </c:pt>
                <c:pt idx="83">
                  <c:v>5.96</c:v>
                </c:pt>
                <c:pt idx="84">
                  <c:v>5.75</c:v>
                </c:pt>
                <c:pt idx="85">
                  <c:v>5.47</c:v>
                </c:pt>
                <c:pt idx="86">
                  <c:v>5.18</c:v>
                </c:pt>
                <c:pt idx="87">
                  <c:v>4.6900000000000004</c:v>
                </c:pt>
                <c:pt idx="88">
                  <c:v>4.66</c:v>
                </c:pt>
                <c:pt idx="89">
                  <c:v>4.37</c:v>
                </c:pt>
                <c:pt idx="90">
                  <c:v>3.99</c:v>
                </c:pt>
                <c:pt idx="91">
                  <c:v>3.4</c:v>
                </c:pt>
                <c:pt idx="92">
                  <c:v>3.87</c:v>
                </c:pt>
                <c:pt idx="93">
                  <c:v>3.97</c:v>
                </c:pt>
                <c:pt idx="94">
                  <c:v>4.05</c:v>
                </c:pt>
                <c:pt idx="95">
                  <c:v>4.12</c:v>
                </c:pt>
                <c:pt idx="96">
                  <c:v>4.09</c:v>
                </c:pt>
                <c:pt idx="97">
                  <c:v>3.68</c:v>
                </c:pt>
                <c:pt idx="98">
                  <c:v>3.37</c:v>
                </c:pt>
                <c:pt idx="99">
                  <c:v>3.14</c:v>
                </c:pt>
                <c:pt idx="100">
                  <c:v>3.13</c:v>
                </c:pt>
                <c:pt idx="101">
                  <c:v>3.16</c:v>
                </c:pt>
                <c:pt idx="102">
                  <c:v>3.2</c:v>
                </c:pt>
                <c:pt idx="103">
                  <c:v>3.12</c:v>
                </c:pt>
                <c:pt idx="104">
                  <c:v>3.1</c:v>
                </c:pt>
                <c:pt idx="105">
                  <c:v>3.23</c:v>
                </c:pt>
                <c:pt idx="106">
                  <c:v>3.33</c:v>
                </c:pt>
                <c:pt idx="107">
                  <c:v>3.27</c:v>
                </c:pt>
                <c:pt idx="108">
                  <c:v>3.18</c:v>
                </c:pt>
                <c:pt idx="109">
                  <c:v>3.15</c:v>
                </c:pt>
                <c:pt idx="110">
                  <c:v>3.01</c:v>
                </c:pt>
                <c:pt idx="111">
                  <c:v>3.21</c:v>
                </c:pt>
                <c:pt idx="112">
                  <c:v>3.25</c:v>
                </c:pt>
                <c:pt idx="113">
                  <c:v>3.31</c:v>
                </c:pt>
                <c:pt idx="114">
                  <c:v>3.43</c:v>
                </c:pt>
                <c:pt idx="115">
                  <c:v>3.79</c:v>
                </c:pt>
                <c:pt idx="116">
                  <c:v>3.75</c:v>
                </c:pt>
                <c:pt idx="117">
                  <c:v>3.82</c:v>
                </c:pt>
                <c:pt idx="118">
                  <c:v>3.86</c:v>
                </c:pt>
                <c:pt idx="119">
                  <c:v>3.84</c:v>
                </c:pt>
                <c:pt idx="120">
                  <c:v>3.8</c:v>
                </c:pt>
                <c:pt idx="121">
                  <c:v>3.62</c:v>
                </c:pt>
                <c:pt idx="122">
                  <c:v>3.72</c:v>
                </c:pt>
                <c:pt idx="123">
                  <c:v>3.86</c:v>
                </c:pt>
                <c:pt idx="124">
                  <c:v>3.51</c:v>
                </c:pt>
                <c:pt idx="125">
                  <c:v>2.85</c:v>
                </c:pt>
                <c:pt idx="126">
                  <c:v>2.19</c:v>
                </c:pt>
                <c:pt idx="127">
                  <c:v>1.97</c:v>
                </c:pt>
                <c:pt idx="128">
                  <c:v>1.88</c:v>
                </c:pt>
                <c:pt idx="129">
                  <c:v>1.97</c:v>
                </c:pt>
                <c:pt idx="130">
                  <c:v>1.75</c:v>
                </c:pt>
                <c:pt idx="131">
                  <c:v>1.49</c:v>
                </c:pt>
                <c:pt idx="132">
                  <c:v>1.61</c:v>
                </c:pt>
                <c:pt idx="133">
                  <c:v>1.6</c:v>
                </c:pt>
                <c:pt idx="134">
                  <c:v>1.56</c:v>
                </c:pt>
                <c:pt idx="135">
                  <c:v>1.51</c:v>
                </c:pt>
                <c:pt idx="136">
                  <c:v>1.95</c:v>
                </c:pt>
                <c:pt idx="137">
                  <c:v>3.3</c:v>
                </c:pt>
                <c:pt idx="138">
                  <c:v>3.63</c:v>
                </c:pt>
                <c:pt idx="139">
                  <c:v>3.97</c:v>
                </c:pt>
                <c:pt idx="140">
                  <c:v>4.4400000000000004</c:v>
                </c:pt>
                <c:pt idx="141">
                  <c:v>4.51</c:v>
                </c:pt>
                <c:pt idx="142">
                  <c:v>4.58</c:v>
                </c:pt>
                <c:pt idx="143">
                  <c:v>5.26</c:v>
                </c:pt>
                <c:pt idx="144">
                  <c:v>5.6226713901415648</c:v>
                </c:pt>
                <c:pt idx="145">
                  <c:v>6.9445991916718297</c:v>
                </c:pt>
                <c:pt idx="146">
                  <c:v>8.005195301860347</c:v>
                </c:pt>
                <c:pt idx="147">
                  <c:v>8.5278752531998681</c:v>
                </c:pt>
                <c:pt idx="148">
                  <c:v>9.2341040422196485</c:v>
                </c:pt>
                <c:pt idx="149">
                  <c:v>9.0667767289255288</c:v>
                </c:pt>
                <c:pt idx="150">
                  <c:v>9.6738344957970401</c:v>
                </c:pt>
                <c:pt idx="151">
                  <c:v>10.205825019961434</c:v>
                </c:pt>
                <c:pt idx="152">
                  <c:v>10.835976009571645</c:v>
                </c:pt>
                <c:pt idx="153">
                  <c:v>11.439885674114514</c:v>
                </c:pt>
                <c:pt idx="154">
                  <c:v>12.221753580520534</c:v>
                </c:pt>
                <c:pt idx="155">
                  <c:v>12.531461584182878</c:v>
                </c:pt>
                <c:pt idx="156">
                  <c:v>13.122464299463799</c:v>
                </c:pt>
                <c:pt idx="157">
                  <c:v>13.251978835328559</c:v>
                </c:pt>
                <c:pt idx="158">
                  <c:v>13.279013337512403</c:v>
                </c:pt>
                <c:pt idx="159">
                  <c:v>13.344330593537235</c:v>
                </c:pt>
                <c:pt idx="160">
                  <c:v>12.82287174741008</c:v>
                </c:pt>
                <c:pt idx="161">
                  <c:v>12.360253381479168</c:v>
                </c:pt>
                <c:pt idx="162">
                  <c:v>12.129615062268439</c:v>
                </c:pt>
                <c:pt idx="163">
                  <c:v>11.78</c:v>
                </c:pt>
                <c:pt idx="164">
                  <c:v>11.43</c:v>
                </c:pt>
                <c:pt idx="165">
                  <c:v>10.99</c:v>
                </c:pt>
                <c:pt idx="166">
                  <c:v>10.48</c:v>
                </c:pt>
                <c:pt idx="167">
                  <c:v>10.15</c:v>
                </c:pt>
                <c:pt idx="168">
                  <c:v>9.2760550452018151</c:v>
                </c:pt>
                <c:pt idx="169">
                  <c:v>8.3465636999175743</c:v>
                </c:pt>
                <c:pt idx="170">
                  <c:v>7.7373806718130433</c:v>
                </c:pt>
                <c:pt idx="171">
                  <c:v>7.3626914348644767</c:v>
                </c:pt>
                <c:pt idx="172">
                  <c:v>7.163281126755483</c:v>
                </c:pt>
                <c:pt idx="173">
                  <c:v>7.1569275409043343</c:v>
                </c:pt>
                <c:pt idx="174">
                  <c:v>7.1824626350778464</c:v>
                </c:pt>
                <c:pt idx="175">
                  <c:v>6.8600414451028602</c:v>
                </c:pt>
                <c:pt idx="176">
                  <c:v>6.1204537923945646</c:v>
                </c:pt>
                <c:pt idx="177">
                  <c:v>5.8087765966825522</c:v>
                </c:pt>
                <c:pt idx="178">
                  <c:v>5.4061275728907843</c:v>
                </c:pt>
                <c:pt idx="179">
                  <c:v>5.1973577964305795</c:v>
                </c:pt>
                <c:pt idx="180">
                  <c:v>5.2030659303403448</c:v>
                </c:pt>
                <c:pt idx="181">
                  <c:v>5.22298042310545</c:v>
                </c:pt>
                <c:pt idx="182">
                  <c:v>5.2765843800580248</c:v>
                </c:pt>
                <c:pt idx="183">
                  <c:v>5.08999660294156</c:v>
                </c:pt>
                <c:pt idx="184">
                  <c:v>5.1622882865170583</c:v>
                </c:pt>
                <c:pt idx="185">
                  <c:v>5.0521050746840324</c:v>
                </c:pt>
                <c:pt idx="186">
                  <c:v>4.8200721707341909</c:v>
                </c:pt>
                <c:pt idx="187">
                  <c:v>4.9004634898229371</c:v>
                </c:pt>
                <c:pt idx="188">
                  <c:v>5.0955737641477317</c:v>
                </c:pt>
                <c:pt idx="189">
                  <c:v>5.1767404992538735</c:v>
                </c:pt>
                <c:pt idx="190">
                  <c:v>5.5122302147269098</c:v>
                </c:pt>
                <c:pt idx="191">
                  <c:v>5.3010692833363793</c:v>
                </c:pt>
                <c:pt idx="192">
                  <c:v>5.0998826144691867</c:v>
                </c:pt>
                <c:pt idx="193">
                  <c:v>5.3542122538293047</c:v>
                </c:pt>
                <c:pt idx="194">
                  <c:v>5.2941176470588047</c:v>
                </c:pt>
                <c:pt idx="195">
                  <c:v>5.555555555555558</c:v>
                </c:pt>
                <c:pt idx="196">
                  <c:v>5.6862221034344351</c:v>
                </c:pt>
                <c:pt idx="197">
                  <c:v>5.8412148661249663</c:v>
                </c:pt>
                <c:pt idx="198">
                  <c:v>6.1410512308715859</c:v>
                </c:pt>
                <c:pt idx="199">
                  <c:v>6.0248158715413558</c:v>
                </c:pt>
                <c:pt idx="200">
                  <c:v>6.2454467183256979</c:v>
                </c:pt>
              </c:numCache>
            </c:numRef>
          </c:val>
          <c:smooth val="0"/>
          <c:extLst>
            <c:ext xmlns:c16="http://schemas.microsoft.com/office/drawing/2014/chart" uri="{C3380CC4-5D6E-409C-BE32-E72D297353CC}">
              <c16:uniqueId val="{00000000-119F-4008-9F4A-3B3165C041C7}"/>
            </c:ext>
          </c:extLst>
        </c:ser>
        <c:dLbls>
          <c:showLegendKey val="0"/>
          <c:showVal val="0"/>
          <c:showCatName val="0"/>
          <c:showSerName val="0"/>
          <c:showPercent val="0"/>
          <c:showBubbleSize val="0"/>
        </c:dLbls>
        <c:smooth val="0"/>
        <c:axId val="859944128"/>
        <c:axId val="1"/>
      </c:lineChart>
      <c:dateAx>
        <c:axId val="859944128"/>
        <c:scaling>
          <c:orientation val="minMax"/>
        </c:scaling>
        <c:delete val="0"/>
        <c:axPos val="b"/>
        <c:numFmt formatCode="mmm\-yy" sourceLinked="0"/>
        <c:majorTickMark val="none"/>
        <c:minorTickMark val="none"/>
        <c:tickLblPos val="nextTo"/>
        <c:spPr>
          <a:noFill/>
          <a:ln w="9525" cap="flat" cmpd="sng" algn="ctr">
            <a:solidFill>
              <a:schemeClr val="tx1">
                <a:lumMod val="15000"/>
                <a:lumOff val="85000"/>
              </a:schemeClr>
            </a:solidFill>
            <a:round/>
          </a:ln>
          <a:effectLst/>
        </c:spPr>
        <c:txPr>
          <a:bodyPr rot="-2700000" vert="horz"/>
          <a:lstStyle/>
          <a:p>
            <a:pPr>
              <a:defRPr sz="900" b="0" i="0" u="none"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max val="13"/>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s-CO"/>
          </a:p>
        </c:txPr>
        <c:crossAx val="859944128"/>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i="0" u="none" strike="noStrike" baseline="0">
                <a:solidFill>
                  <a:srgbClr val="333333"/>
                </a:solidFill>
                <a:latin typeface="Calibri"/>
                <a:ea typeface="Calibri"/>
                <a:cs typeface="Calibri"/>
              </a:defRPr>
            </a:pPr>
            <a:r>
              <a:rPr lang="es-ES"/>
              <a:t>Indicador bancario de referencia (IBR)  (tasa efectiva anual)</a:t>
            </a:r>
          </a:p>
        </c:rich>
      </c:tx>
      <c:overlay val="0"/>
      <c:spPr>
        <a:noFill/>
        <a:ln w="25400">
          <a:noFill/>
        </a:ln>
      </c:spPr>
    </c:title>
    <c:autoTitleDeleted val="0"/>
    <c:plotArea>
      <c:layout>
        <c:manualLayout>
          <c:layoutTarget val="inner"/>
          <c:xMode val="edge"/>
          <c:yMode val="edge"/>
          <c:x val="0.11664509848028706"/>
          <c:y val="0.17405215136050234"/>
          <c:w val="0.84706735871885497"/>
          <c:h val="0.6312417875263906"/>
        </c:manualLayout>
      </c:layout>
      <c:lineChart>
        <c:grouping val="standard"/>
        <c:varyColors val="0"/>
        <c:ser>
          <c:idx val="0"/>
          <c:order val="0"/>
          <c:tx>
            <c:strRef>
              <c:f>Mes!$C$1</c:f>
              <c:strCache>
                <c:ptCount val="1"/>
                <c:pt idx="0">
                  <c:v>IBR_efectiva_anual_FinD</c:v>
                </c:pt>
              </c:strCache>
            </c:strRef>
          </c:tx>
          <c:spPr>
            <a:ln w="28575" cap="rnd">
              <a:solidFill>
                <a:schemeClr val="accent1"/>
              </a:solidFill>
              <a:round/>
            </a:ln>
            <a:effectLst/>
          </c:spPr>
          <c:marker>
            <c:symbol val="none"/>
          </c:marker>
          <c:cat>
            <c:numRef>
              <c:f>Mes!$A$2:$A$203</c:f>
              <c:numCache>
                <c:formatCode>mmm\-yy</c:formatCode>
                <c:ptCount val="202"/>
                <c:pt idx="0">
                  <c:v>40148</c:v>
                </c:pt>
                <c:pt idx="1">
                  <c:v>40179</c:v>
                </c:pt>
                <c:pt idx="2">
                  <c:v>40210</c:v>
                </c:pt>
                <c:pt idx="3">
                  <c:v>40238</c:v>
                </c:pt>
                <c:pt idx="4">
                  <c:v>40269</c:v>
                </c:pt>
                <c:pt idx="5">
                  <c:v>40299</c:v>
                </c:pt>
                <c:pt idx="6">
                  <c:v>40330</c:v>
                </c:pt>
                <c:pt idx="7">
                  <c:v>40360</c:v>
                </c:pt>
                <c:pt idx="8">
                  <c:v>40391</c:v>
                </c:pt>
                <c:pt idx="9">
                  <c:v>40422</c:v>
                </c:pt>
                <c:pt idx="10">
                  <c:v>40452</c:v>
                </c:pt>
                <c:pt idx="11">
                  <c:v>40483</c:v>
                </c:pt>
                <c:pt idx="12">
                  <c:v>40513</c:v>
                </c:pt>
                <c:pt idx="13">
                  <c:v>40544</c:v>
                </c:pt>
                <c:pt idx="14">
                  <c:v>40575</c:v>
                </c:pt>
                <c:pt idx="15">
                  <c:v>40603</c:v>
                </c:pt>
                <c:pt idx="16">
                  <c:v>40634</c:v>
                </c:pt>
                <c:pt idx="17">
                  <c:v>40664</c:v>
                </c:pt>
                <c:pt idx="18">
                  <c:v>40695</c:v>
                </c:pt>
                <c:pt idx="19">
                  <c:v>40725</c:v>
                </c:pt>
                <c:pt idx="20">
                  <c:v>40756</c:v>
                </c:pt>
                <c:pt idx="21">
                  <c:v>40787</c:v>
                </c:pt>
                <c:pt idx="22">
                  <c:v>40817</c:v>
                </c:pt>
                <c:pt idx="23">
                  <c:v>40848</c:v>
                </c:pt>
                <c:pt idx="24">
                  <c:v>40878</c:v>
                </c:pt>
                <c:pt idx="25">
                  <c:v>40909</c:v>
                </c:pt>
                <c:pt idx="26">
                  <c:v>40940</c:v>
                </c:pt>
                <c:pt idx="27">
                  <c:v>40969</c:v>
                </c:pt>
                <c:pt idx="28">
                  <c:v>41000</c:v>
                </c:pt>
                <c:pt idx="29">
                  <c:v>41030</c:v>
                </c:pt>
                <c:pt idx="30">
                  <c:v>41061</c:v>
                </c:pt>
                <c:pt idx="31">
                  <c:v>41091</c:v>
                </c:pt>
                <c:pt idx="32">
                  <c:v>41122</c:v>
                </c:pt>
                <c:pt idx="33">
                  <c:v>41153</c:v>
                </c:pt>
                <c:pt idx="34">
                  <c:v>41183</c:v>
                </c:pt>
                <c:pt idx="35">
                  <c:v>41214</c:v>
                </c:pt>
                <c:pt idx="36">
                  <c:v>41244</c:v>
                </c:pt>
                <c:pt idx="37">
                  <c:v>41275</c:v>
                </c:pt>
                <c:pt idx="38">
                  <c:v>41306</c:v>
                </c:pt>
                <c:pt idx="39">
                  <c:v>41334</c:v>
                </c:pt>
                <c:pt idx="40">
                  <c:v>41365</c:v>
                </c:pt>
                <c:pt idx="41">
                  <c:v>41395</c:v>
                </c:pt>
                <c:pt idx="42">
                  <c:v>41426</c:v>
                </c:pt>
                <c:pt idx="43">
                  <c:v>41456</c:v>
                </c:pt>
                <c:pt idx="44">
                  <c:v>41487</c:v>
                </c:pt>
                <c:pt idx="45">
                  <c:v>41518</c:v>
                </c:pt>
                <c:pt idx="46">
                  <c:v>41548</c:v>
                </c:pt>
                <c:pt idx="47">
                  <c:v>41579</c:v>
                </c:pt>
                <c:pt idx="48">
                  <c:v>41609</c:v>
                </c:pt>
                <c:pt idx="49">
                  <c:v>41640</c:v>
                </c:pt>
                <c:pt idx="50">
                  <c:v>41671</c:v>
                </c:pt>
                <c:pt idx="51">
                  <c:v>41699</c:v>
                </c:pt>
                <c:pt idx="52">
                  <c:v>41730</c:v>
                </c:pt>
                <c:pt idx="53">
                  <c:v>41760</c:v>
                </c:pt>
                <c:pt idx="54">
                  <c:v>41791</c:v>
                </c:pt>
                <c:pt idx="55">
                  <c:v>41821</c:v>
                </c:pt>
                <c:pt idx="56">
                  <c:v>41852</c:v>
                </c:pt>
                <c:pt idx="57">
                  <c:v>41883</c:v>
                </c:pt>
                <c:pt idx="58">
                  <c:v>41913</c:v>
                </c:pt>
                <c:pt idx="59">
                  <c:v>41944</c:v>
                </c:pt>
                <c:pt idx="60">
                  <c:v>41974</c:v>
                </c:pt>
                <c:pt idx="61">
                  <c:v>42005</c:v>
                </c:pt>
                <c:pt idx="62">
                  <c:v>42036</c:v>
                </c:pt>
                <c:pt idx="63">
                  <c:v>42064</c:v>
                </c:pt>
                <c:pt idx="64">
                  <c:v>42095</c:v>
                </c:pt>
                <c:pt idx="65">
                  <c:v>42125</c:v>
                </c:pt>
                <c:pt idx="66">
                  <c:v>42156</c:v>
                </c:pt>
                <c:pt idx="67">
                  <c:v>42186</c:v>
                </c:pt>
                <c:pt idx="68">
                  <c:v>42217</c:v>
                </c:pt>
                <c:pt idx="69">
                  <c:v>42248</c:v>
                </c:pt>
                <c:pt idx="70">
                  <c:v>42278</c:v>
                </c:pt>
                <c:pt idx="71">
                  <c:v>42309</c:v>
                </c:pt>
                <c:pt idx="72">
                  <c:v>42339</c:v>
                </c:pt>
                <c:pt idx="73">
                  <c:v>42370</c:v>
                </c:pt>
                <c:pt idx="74">
                  <c:v>42401</c:v>
                </c:pt>
                <c:pt idx="75">
                  <c:v>42430</c:v>
                </c:pt>
                <c:pt idx="76">
                  <c:v>42461</c:v>
                </c:pt>
                <c:pt idx="77">
                  <c:v>42491</c:v>
                </c:pt>
                <c:pt idx="78">
                  <c:v>42522</c:v>
                </c:pt>
                <c:pt idx="79">
                  <c:v>42552</c:v>
                </c:pt>
                <c:pt idx="80">
                  <c:v>42583</c:v>
                </c:pt>
                <c:pt idx="81">
                  <c:v>42614</c:v>
                </c:pt>
                <c:pt idx="82">
                  <c:v>42644</c:v>
                </c:pt>
                <c:pt idx="83">
                  <c:v>42675</c:v>
                </c:pt>
                <c:pt idx="84">
                  <c:v>42705</c:v>
                </c:pt>
                <c:pt idx="85">
                  <c:v>42736</c:v>
                </c:pt>
                <c:pt idx="86">
                  <c:v>42767</c:v>
                </c:pt>
                <c:pt idx="87">
                  <c:v>42795</c:v>
                </c:pt>
                <c:pt idx="88">
                  <c:v>42826</c:v>
                </c:pt>
                <c:pt idx="89">
                  <c:v>42856</c:v>
                </c:pt>
                <c:pt idx="90">
                  <c:v>42887</c:v>
                </c:pt>
                <c:pt idx="91">
                  <c:v>42917</c:v>
                </c:pt>
                <c:pt idx="92">
                  <c:v>42948</c:v>
                </c:pt>
                <c:pt idx="93">
                  <c:v>42979</c:v>
                </c:pt>
                <c:pt idx="94">
                  <c:v>43009</c:v>
                </c:pt>
                <c:pt idx="95">
                  <c:v>43040</c:v>
                </c:pt>
                <c:pt idx="96">
                  <c:v>43070</c:v>
                </c:pt>
                <c:pt idx="97">
                  <c:v>43101</c:v>
                </c:pt>
                <c:pt idx="98">
                  <c:v>43132</c:v>
                </c:pt>
                <c:pt idx="99">
                  <c:v>43160</c:v>
                </c:pt>
                <c:pt idx="100">
                  <c:v>43191</c:v>
                </c:pt>
                <c:pt idx="101">
                  <c:v>43221</c:v>
                </c:pt>
                <c:pt idx="102">
                  <c:v>43252</c:v>
                </c:pt>
                <c:pt idx="103">
                  <c:v>43282</c:v>
                </c:pt>
                <c:pt idx="104">
                  <c:v>43313</c:v>
                </c:pt>
                <c:pt idx="105">
                  <c:v>43344</c:v>
                </c:pt>
                <c:pt idx="106">
                  <c:v>43374</c:v>
                </c:pt>
                <c:pt idx="107">
                  <c:v>43405</c:v>
                </c:pt>
                <c:pt idx="108">
                  <c:v>43435</c:v>
                </c:pt>
                <c:pt idx="109">
                  <c:v>43466</c:v>
                </c:pt>
                <c:pt idx="110">
                  <c:v>43497</c:v>
                </c:pt>
                <c:pt idx="111">
                  <c:v>43525</c:v>
                </c:pt>
                <c:pt idx="112">
                  <c:v>43556</c:v>
                </c:pt>
                <c:pt idx="113">
                  <c:v>43586</c:v>
                </c:pt>
                <c:pt idx="114">
                  <c:v>43617</c:v>
                </c:pt>
                <c:pt idx="115">
                  <c:v>43647</c:v>
                </c:pt>
                <c:pt idx="116">
                  <c:v>43678</c:v>
                </c:pt>
                <c:pt idx="117">
                  <c:v>43709</c:v>
                </c:pt>
                <c:pt idx="118">
                  <c:v>43739</c:v>
                </c:pt>
                <c:pt idx="119">
                  <c:v>43770</c:v>
                </c:pt>
                <c:pt idx="120">
                  <c:v>43800</c:v>
                </c:pt>
                <c:pt idx="121">
                  <c:v>43831</c:v>
                </c:pt>
                <c:pt idx="122">
                  <c:v>43862</c:v>
                </c:pt>
                <c:pt idx="123">
                  <c:v>43891</c:v>
                </c:pt>
                <c:pt idx="124">
                  <c:v>43922</c:v>
                </c:pt>
                <c:pt idx="125">
                  <c:v>43952</c:v>
                </c:pt>
                <c:pt idx="126">
                  <c:v>43983</c:v>
                </c:pt>
                <c:pt idx="127">
                  <c:v>44013</c:v>
                </c:pt>
                <c:pt idx="128">
                  <c:v>44044</c:v>
                </c:pt>
                <c:pt idx="129">
                  <c:v>44075</c:v>
                </c:pt>
                <c:pt idx="130">
                  <c:v>44105</c:v>
                </c:pt>
                <c:pt idx="131">
                  <c:v>44136</c:v>
                </c:pt>
                <c:pt idx="132">
                  <c:v>44166</c:v>
                </c:pt>
                <c:pt idx="133">
                  <c:v>44197</c:v>
                </c:pt>
                <c:pt idx="134">
                  <c:v>44228</c:v>
                </c:pt>
                <c:pt idx="135">
                  <c:v>44256</c:v>
                </c:pt>
                <c:pt idx="136">
                  <c:v>44287</c:v>
                </c:pt>
                <c:pt idx="137">
                  <c:v>44317</c:v>
                </c:pt>
                <c:pt idx="138">
                  <c:v>44348</c:v>
                </c:pt>
                <c:pt idx="139">
                  <c:v>44378</c:v>
                </c:pt>
                <c:pt idx="140">
                  <c:v>44409</c:v>
                </c:pt>
                <c:pt idx="141">
                  <c:v>44440</c:v>
                </c:pt>
                <c:pt idx="142">
                  <c:v>44470</c:v>
                </c:pt>
                <c:pt idx="143">
                  <c:v>44501</c:v>
                </c:pt>
                <c:pt idx="144">
                  <c:v>44531</c:v>
                </c:pt>
                <c:pt idx="145">
                  <c:v>44562</c:v>
                </c:pt>
                <c:pt idx="146">
                  <c:v>44593</c:v>
                </c:pt>
                <c:pt idx="147">
                  <c:v>44621</c:v>
                </c:pt>
                <c:pt idx="148">
                  <c:v>44652</c:v>
                </c:pt>
                <c:pt idx="149">
                  <c:v>44682</c:v>
                </c:pt>
                <c:pt idx="150">
                  <c:v>44713</c:v>
                </c:pt>
                <c:pt idx="151">
                  <c:v>44743</c:v>
                </c:pt>
                <c:pt idx="152">
                  <c:v>44774</c:v>
                </c:pt>
                <c:pt idx="153">
                  <c:v>44805</c:v>
                </c:pt>
                <c:pt idx="154">
                  <c:v>44835</c:v>
                </c:pt>
                <c:pt idx="155">
                  <c:v>44866</c:v>
                </c:pt>
                <c:pt idx="156">
                  <c:v>44896</c:v>
                </c:pt>
                <c:pt idx="157">
                  <c:v>44927</c:v>
                </c:pt>
                <c:pt idx="158">
                  <c:v>44958</c:v>
                </c:pt>
                <c:pt idx="159">
                  <c:v>44986</c:v>
                </c:pt>
                <c:pt idx="160">
                  <c:v>45017</c:v>
                </c:pt>
                <c:pt idx="161">
                  <c:v>45047</c:v>
                </c:pt>
                <c:pt idx="162">
                  <c:v>45078</c:v>
                </c:pt>
                <c:pt idx="163">
                  <c:v>45108</c:v>
                </c:pt>
                <c:pt idx="164">
                  <c:v>45139</c:v>
                </c:pt>
                <c:pt idx="165">
                  <c:v>45170</c:v>
                </c:pt>
                <c:pt idx="166">
                  <c:v>45200</c:v>
                </c:pt>
                <c:pt idx="167">
                  <c:v>45231</c:v>
                </c:pt>
                <c:pt idx="168">
                  <c:v>45261</c:v>
                </c:pt>
                <c:pt idx="169">
                  <c:v>45292</c:v>
                </c:pt>
                <c:pt idx="170">
                  <c:v>45323</c:v>
                </c:pt>
                <c:pt idx="171">
                  <c:v>45352</c:v>
                </c:pt>
                <c:pt idx="172">
                  <c:v>45383</c:v>
                </c:pt>
                <c:pt idx="173">
                  <c:v>45413</c:v>
                </c:pt>
                <c:pt idx="174">
                  <c:v>45444</c:v>
                </c:pt>
                <c:pt idx="175">
                  <c:v>45474</c:v>
                </c:pt>
                <c:pt idx="176">
                  <c:v>45505</c:v>
                </c:pt>
                <c:pt idx="177">
                  <c:v>45536</c:v>
                </c:pt>
                <c:pt idx="178">
                  <c:v>45566</c:v>
                </c:pt>
                <c:pt idx="179">
                  <c:v>45597</c:v>
                </c:pt>
                <c:pt idx="180">
                  <c:v>45627</c:v>
                </c:pt>
                <c:pt idx="181">
                  <c:v>45658</c:v>
                </c:pt>
                <c:pt idx="182">
                  <c:v>45689</c:v>
                </c:pt>
                <c:pt idx="183">
                  <c:v>45717</c:v>
                </c:pt>
                <c:pt idx="184">
                  <c:v>45748</c:v>
                </c:pt>
                <c:pt idx="185">
                  <c:v>45778</c:v>
                </c:pt>
                <c:pt idx="186">
                  <c:v>45809</c:v>
                </c:pt>
                <c:pt idx="187">
                  <c:v>45839</c:v>
                </c:pt>
                <c:pt idx="188">
                  <c:v>45870</c:v>
                </c:pt>
                <c:pt idx="189">
                  <c:v>45901</c:v>
                </c:pt>
                <c:pt idx="190">
                  <c:v>45931</c:v>
                </c:pt>
                <c:pt idx="191">
                  <c:v>45962</c:v>
                </c:pt>
                <c:pt idx="192">
                  <c:v>45992</c:v>
                </c:pt>
                <c:pt idx="193">
                  <c:v>46023</c:v>
                </c:pt>
                <c:pt idx="194">
                  <c:v>46054</c:v>
                </c:pt>
                <c:pt idx="195">
                  <c:v>46082</c:v>
                </c:pt>
                <c:pt idx="196">
                  <c:v>46113</c:v>
                </c:pt>
                <c:pt idx="197">
                  <c:v>46143</c:v>
                </c:pt>
                <c:pt idx="198">
                  <c:v>46174</c:v>
                </c:pt>
                <c:pt idx="199">
                  <c:v>46204</c:v>
                </c:pt>
                <c:pt idx="200">
                  <c:v>46235</c:v>
                </c:pt>
                <c:pt idx="201">
                  <c:v>46266</c:v>
                </c:pt>
              </c:numCache>
            </c:numRef>
          </c:cat>
          <c:val>
            <c:numRef>
              <c:f>Mes!$C$2:$C$203</c:f>
              <c:numCache>
                <c:formatCode>#,##0.00</c:formatCode>
                <c:ptCount val="202"/>
                <c:pt idx="32">
                  <c:v>4.7699999999999996</c:v>
                </c:pt>
                <c:pt idx="33">
                  <c:v>4.5679999999999996</c:v>
                </c:pt>
                <c:pt idx="34">
                  <c:v>4.7110000000000003</c:v>
                </c:pt>
                <c:pt idx="35">
                  <c:v>4.5030000000000001</c:v>
                </c:pt>
                <c:pt idx="36">
                  <c:v>4.218</c:v>
                </c:pt>
                <c:pt idx="37">
                  <c:v>3.8919999999999999</c:v>
                </c:pt>
                <c:pt idx="38">
                  <c:v>3.6190000000000002</c:v>
                </c:pt>
                <c:pt idx="39">
                  <c:v>3.2010000000000001</c:v>
                </c:pt>
                <c:pt idx="40">
                  <c:v>3.17</c:v>
                </c:pt>
                <c:pt idx="41">
                  <c:v>3.2330000000000001</c:v>
                </c:pt>
                <c:pt idx="42">
                  <c:v>3.2370000000000001</c:v>
                </c:pt>
                <c:pt idx="43">
                  <c:v>3.266</c:v>
                </c:pt>
                <c:pt idx="44">
                  <c:v>3.2610000000000001</c:v>
                </c:pt>
                <c:pt idx="45">
                  <c:v>3.27</c:v>
                </c:pt>
                <c:pt idx="46">
                  <c:v>3.274</c:v>
                </c:pt>
                <c:pt idx="47">
                  <c:v>3.222</c:v>
                </c:pt>
                <c:pt idx="48">
                  <c:v>3.2490000000000001</c:v>
                </c:pt>
                <c:pt idx="49">
                  <c:v>3.2730000000000001</c:v>
                </c:pt>
                <c:pt idx="50">
                  <c:v>3.278</c:v>
                </c:pt>
                <c:pt idx="51">
                  <c:v>3.254</c:v>
                </c:pt>
                <c:pt idx="52">
                  <c:v>3.722</c:v>
                </c:pt>
                <c:pt idx="53">
                  <c:v>3.8719999999999999</c:v>
                </c:pt>
                <c:pt idx="54">
                  <c:v>4.2530000000000001</c:v>
                </c:pt>
                <c:pt idx="55">
                  <c:v>4.351</c:v>
                </c:pt>
                <c:pt idx="56">
                  <c:v>4.484</c:v>
                </c:pt>
                <c:pt idx="57">
                  <c:v>4.5129999999999999</c:v>
                </c:pt>
                <c:pt idx="58">
                  <c:v>4.5049999999999999</c:v>
                </c:pt>
                <c:pt idx="59">
                  <c:v>4.4909999999999997</c:v>
                </c:pt>
                <c:pt idx="60">
                  <c:v>4.4950000000000001</c:v>
                </c:pt>
                <c:pt idx="61">
                  <c:v>4.4640000000000004</c:v>
                </c:pt>
                <c:pt idx="62">
                  <c:v>4.47</c:v>
                </c:pt>
                <c:pt idx="63">
                  <c:v>4.5270000000000001</c:v>
                </c:pt>
                <c:pt idx="64">
                  <c:v>4.5220000000000002</c:v>
                </c:pt>
                <c:pt idx="65">
                  <c:v>4.5069999999999997</c:v>
                </c:pt>
                <c:pt idx="66">
                  <c:v>4.5129999999999999</c:v>
                </c:pt>
                <c:pt idx="67">
                  <c:v>4.5369999999999999</c:v>
                </c:pt>
                <c:pt idx="68">
                  <c:v>4.7149999999999999</c:v>
                </c:pt>
                <c:pt idx="69">
                  <c:v>4.9770000000000003</c:v>
                </c:pt>
                <c:pt idx="70">
                  <c:v>5.3869999999999996</c:v>
                </c:pt>
                <c:pt idx="71">
                  <c:v>5.8419999999999996</c:v>
                </c:pt>
                <c:pt idx="72">
                  <c:v>6.0679999999999996</c:v>
                </c:pt>
                <c:pt idx="73">
                  <c:v>6.3170000000000002</c:v>
                </c:pt>
                <c:pt idx="74">
                  <c:v>6.5789999999999997</c:v>
                </c:pt>
                <c:pt idx="75">
                  <c:v>6.7229999999999999</c:v>
                </c:pt>
                <c:pt idx="76">
                  <c:v>6.9829999999999997</c:v>
                </c:pt>
                <c:pt idx="77">
                  <c:v>7.3789999999999996</c:v>
                </c:pt>
                <c:pt idx="78">
                  <c:v>7.5389999999999997</c:v>
                </c:pt>
                <c:pt idx="79">
                  <c:v>7.6909999999999998</c:v>
                </c:pt>
                <c:pt idx="80">
                  <c:v>7.8239999999999998</c:v>
                </c:pt>
                <c:pt idx="81">
                  <c:v>7.7359999999999998</c:v>
                </c:pt>
                <c:pt idx="82">
                  <c:v>7.7050000000000001</c:v>
                </c:pt>
                <c:pt idx="83">
                  <c:v>7.6319999999999997</c:v>
                </c:pt>
                <c:pt idx="84">
                  <c:v>7.2039999999999997</c:v>
                </c:pt>
                <c:pt idx="85">
                  <c:v>7.3319999999999999</c:v>
                </c:pt>
                <c:pt idx="86">
                  <c:v>7.03</c:v>
                </c:pt>
                <c:pt idx="87">
                  <c:v>6.6379999999999999</c:v>
                </c:pt>
                <c:pt idx="88">
                  <c:v>6.1970000000000001</c:v>
                </c:pt>
                <c:pt idx="89">
                  <c:v>5.87</c:v>
                </c:pt>
                <c:pt idx="90">
                  <c:v>5.5039999999999996</c:v>
                </c:pt>
                <c:pt idx="91">
                  <c:v>5.3449999999999998</c:v>
                </c:pt>
                <c:pt idx="92">
                  <c:v>5.1929999999999996</c:v>
                </c:pt>
                <c:pt idx="93">
                  <c:v>5.1459999999999999</c:v>
                </c:pt>
                <c:pt idx="94">
                  <c:v>4.9459999999999997</c:v>
                </c:pt>
                <c:pt idx="95">
                  <c:v>4.5620000000000003</c:v>
                </c:pt>
                <c:pt idx="96">
                  <c:v>4.6550000000000002</c:v>
                </c:pt>
                <c:pt idx="97">
                  <c:v>4.4770000000000003</c:v>
                </c:pt>
                <c:pt idx="98">
                  <c:v>4.4130000000000003</c:v>
                </c:pt>
                <c:pt idx="99">
                  <c:v>4.3319999999999999</c:v>
                </c:pt>
                <c:pt idx="100">
                  <c:v>4.1980000000000004</c:v>
                </c:pt>
                <c:pt idx="101">
                  <c:v>4.202</c:v>
                </c:pt>
                <c:pt idx="102">
                  <c:v>4.2519999999999998</c:v>
                </c:pt>
                <c:pt idx="103">
                  <c:v>4.2460000000000004</c:v>
                </c:pt>
                <c:pt idx="104">
                  <c:v>4.25</c:v>
                </c:pt>
                <c:pt idx="105">
                  <c:v>4.2560000000000002</c:v>
                </c:pt>
                <c:pt idx="106">
                  <c:v>4.2830000000000004</c:v>
                </c:pt>
                <c:pt idx="107">
                  <c:v>4.2779999999999996</c:v>
                </c:pt>
                <c:pt idx="108">
                  <c:v>4.2670000000000003</c:v>
                </c:pt>
                <c:pt idx="109">
                  <c:v>4.2560000000000002</c:v>
                </c:pt>
                <c:pt idx="110">
                  <c:v>4.2649999999999997</c:v>
                </c:pt>
                <c:pt idx="111">
                  <c:v>4.26</c:v>
                </c:pt>
                <c:pt idx="112">
                  <c:v>4.2590000000000003</c:v>
                </c:pt>
                <c:pt idx="113">
                  <c:v>4.2489999999999997</c:v>
                </c:pt>
                <c:pt idx="114">
                  <c:v>4.2160000000000002</c:v>
                </c:pt>
                <c:pt idx="115">
                  <c:v>4.2359999999999998</c:v>
                </c:pt>
                <c:pt idx="116">
                  <c:v>4.2569999999999997</c:v>
                </c:pt>
                <c:pt idx="117">
                  <c:v>4.25</c:v>
                </c:pt>
                <c:pt idx="118">
                  <c:v>4.2629999999999999</c:v>
                </c:pt>
                <c:pt idx="119">
                  <c:v>4.26</c:v>
                </c:pt>
                <c:pt idx="120">
                  <c:v>4.258</c:v>
                </c:pt>
                <c:pt idx="121">
                  <c:v>4.258</c:v>
                </c:pt>
                <c:pt idx="122">
                  <c:v>4.2519999999999998</c:v>
                </c:pt>
                <c:pt idx="123">
                  <c:v>3.3719999999999999</c:v>
                </c:pt>
                <c:pt idx="124">
                  <c:v>2.9420000000000002</c:v>
                </c:pt>
                <c:pt idx="125">
                  <c:v>2.548</c:v>
                </c:pt>
                <c:pt idx="126">
                  <c:v>2.2730000000000001</c:v>
                </c:pt>
                <c:pt idx="127">
                  <c:v>2.141</c:v>
                </c:pt>
                <c:pt idx="128">
                  <c:v>2.0630000000000002</c:v>
                </c:pt>
                <c:pt idx="129">
                  <c:v>1.7370000000000001</c:v>
                </c:pt>
                <c:pt idx="130">
                  <c:v>1.7190000000000001</c:v>
                </c:pt>
                <c:pt idx="131">
                  <c:v>1.748</c:v>
                </c:pt>
                <c:pt idx="132">
                  <c:v>1.728</c:v>
                </c:pt>
                <c:pt idx="133">
                  <c:v>1.6930000000000001</c:v>
                </c:pt>
                <c:pt idx="134">
                  <c:v>1.728</c:v>
                </c:pt>
                <c:pt idx="135">
                  <c:v>1.772</c:v>
                </c:pt>
                <c:pt idx="136">
                  <c:v>1.7450000000000001</c:v>
                </c:pt>
                <c:pt idx="137">
                  <c:v>1.837</c:v>
                </c:pt>
                <c:pt idx="138">
                  <c:v>1.923</c:v>
                </c:pt>
                <c:pt idx="139">
                  <c:v>1.863</c:v>
                </c:pt>
                <c:pt idx="140">
                  <c:v>2.0249999999999999</c:v>
                </c:pt>
                <c:pt idx="141">
                  <c:v>2.4449999999999998</c:v>
                </c:pt>
                <c:pt idx="142">
                  <c:v>2.6859999999999999</c:v>
                </c:pt>
                <c:pt idx="143">
                  <c:v>3.0910000000000002</c:v>
                </c:pt>
                <c:pt idx="144">
                  <c:v>3.5110000000000001</c:v>
                </c:pt>
                <c:pt idx="145">
                  <c:v>4.3739999999999997</c:v>
                </c:pt>
                <c:pt idx="146">
                  <c:v>5.2560000000000002</c:v>
                </c:pt>
                <c:pt idx="147">
                  <c:v>6.3470000000000004</c:v>
                </c:pt>
                <c:pt idx="148">
                  <c:v>6.4589999999999996</c:v>
                </c:pt>
                <c:pt idx="149">
                  <c:v>7.2329999999999997</c:v>
                </c:pt>
                <c:pt idx="150">
                  <c:v>8.3279999999999994</c:v>
                </c:pt>
                <c:pt idx="151">
                  <c:v>9.2840000000000007</c:v>
                </c:pt>
                <c:pt idx="152">
                  <c:v>9.9749999999999996</c:v>
                </c:pt>
                <c:pt idx="153">
                  <c:v>10.712</c:v>
                </c:pt>
                <c:pt idx="154">
                  <c:v>11.454000000000001</c:v>
                </c:pt>
                <c:pt idx="155">
                  <c:v>11.722</c:v>
                </c:pt>
                <c:pt idx="156">
                  <c:v>12.359</c:v>
                </c:pt>
                <c:pt idx="157">
                  <c:v>12.834</c:v>
                </c:pt>
                <c:pt idx="158">
                  <c:v>13.071</c:v>
                </c:pt>
                <c:pt idx="159">
                  <c:v>13.007</c:v>
                </c:pt>
                <c:pt idx="160">
                  <c:v>13.15</c:v>
                </c:pt>
                <c:pt idx="161">
                  <c:v>13.239000000000001</c:v>
                </c:pt>
                <c:pt idx="162">
                  <c:v>13.254</c:v>
                </c:pt>
                <c:pt idx="163">
                  <c:v>13.112</c:v>
                </c:pt>
                <c:pt idx="164">
                  <c:v>13.111000000000001</c:v>
                </c:pt>
                <c:pt idx="165">
                  <c:v>13.085000000000001</c:v>
                </c:pt>
                <c:pt idx="166">
                  <c:v>13.092000000000001</c:v>
                </c:pt>
                <c:pt idx="167">
                  <c:v>12.916</c:v>
                </c:pt>
                <c:pt idx="168">
                  <c:v>12.714</c:v>
                </c:pt>
                <c:pt idx="169">
                  <c:v>12.397</c:v>
                </c:pt>
                <c:pt idx="170">
                  <c:v>12.226000000000001</c:v>
                </c:pt>
                <c:pt idx="171">
                  <c:v>11.827999999999999</c:v>
                </c:pt>
                <c:pt idx="172">
                  <c:v>11.56</c:v>
                </c:pt>
                <c:pt idx="173">
                  <c:v>11.167</c:v>
                </c:pt>
                <c:pt idx="174">
                  <c:v>10.866</c:v>
                </c:pt>
                <c:pt idx="175">
                  <c:v>10.523999999999999</c:v>
                </c:pt>
                <c:pt idx="176">
                  <c:v>10.179</c:v>
                </c:pt>
                <c:pt idx="177">
                  <c:v>9.7149999999999999</c:v>
                </c:pt>
                <c:pt idx="178">
                  <c:v>9.4469999999999992</c:v>
                </c:pt>
                <c:pt idx="179">
                  <c:v>9.25</c:v>
                </c:pt>
                <c:pt idx="180">
                  <c:v>9.3960000000000008</c:v>
                </c:pt>
                <c:pt idx="181">
                  <c:v>9.2360000000000007</c:v>
                </c:pt>
                <c:pt idx="182">
                  <c:v>9.2910000000000004</c:v>
                </c:pt>
                <c:pt idx="183">
                  <c:v>9.327</c:v>
                </c:pt>
                <c:pt idx="184">
                  <c:v>9.3940000000000001</c:v>
                </c:pt>
                <c:pt idx="185">
                  <c:v>9.1359999999999992</c:v>
                </c:pt>
                <c:pt idx="186">
                  <c:v>9.1069999999999993</c:v>
                </c:pt>
                <c:pt idx="187">
                  <c:v>9.0229999999999997</c:v>
                </c:pt>
                <c:pt idx="188">
                  <c:v>9.1809999999999992</c:v>
                </c:pt>
                <c:pt idx="189">
                  <c:v>9.2070000000000007</c:v>
                </c:pt>
                <c:pt idx="190">
                  <c:v>9.2759999999999998</c:v>
                </c:pt>
                <c:pt idx="191">
                  <c:v>9.4670000000000005</c:v>
                </c:pt>
                <c:pt idx="192">
                  <c:v>9.8789999999999996</c:v>
                </c:pt>
                <c:pt idx="193">
                  <c:v>10.08</c:v>
                </c:pt>
                <c:pt idx="194">
                  <c:v>11.14</c:v>
                </c:pt>
                <c:pt idx="195">
                  <c:v>11.654</c:v>
                </c:pt>
                <c:pt idx="196">
                  <c:v>12.121</c:v>
                </c:pt>
                <c:pt idx="197">
                  <c:v>11.909000000000001</c:v>
                </c:pt>
                <c:pt idx="198">
                  <c:v>12.154</c:v>
                </c:pt>
                <c:pt idx="199">
                  <c:v>12.477</c:v>
                </c:pt>
                <c:pt idx="200">
                  <c:v>12.092000000000001</c:v>
                </c:pt>
                <c:pt idx="201">
                  <c:v>12.243</c:v>
                </c:pt>
              </c:numCache>
            </c:numRef>
          </c:val>
          <c:smooth val="0"/>
          <c:extLst>
            <c:ext xmlns:c16="http://schemas.microsoft.com/office/drawing/2014/chart" uri="{C3380CC4-5D6E-409C-BE32-E72D297353CC}">
              <c16:uniqueId val="{00000000-80A0-4DC1-B08B-AE883C1F8696}"/>
            </c:ext>
          </c:extLst>
        </c:ser>
        <c:dLbls>
          <c:showLegendKey val="0"/>
          <c:showVal val="0"/>
          <c:showCatName val="0"/>
          <c:showSerName val="0"/>
          <c:showPercent val="0"/>
          <c:showBubbleSize val="0"/>
        </c:dLbls>
        <c:smooth val="0"/>
        <c:axId val="859934144"/>
        <c:axId val="1"/>
      </c:lineChart>
      <c:dateAx>
        <c:axId val="859934144"/>
        <c:scaling>
          <c:orientation val="minMax"/>
        </c:scaling>
        <c:delete val="0"/>
        <c:axPos val="b"/>
        <c:numFmt formatCode="mmm\-yy" sourceLinked="0"/>
        <c:majorTickMark val="none"/>
        <c:minorTickMark val="none"/>
        <c:tickLblPos val="nextTo"/>
        <c:spPr>
          <a:noFill/>
          <a:ln w="9525" cap="flat" cmpd="sng" algn="ctr">
            <a:solidFill>
              <a:schemeClr val="tx1">
                <a:lumMod val="15000"/>
                <a:lumOff val="85000"/>
              </a:schemeClr>
            </a:solidFill>
            <a:round/>
          </a:ln>
          <a:effectLst/>
        </c:spPr>
        <c:txPr>
          <a:bodyPr rot="-2700000" vert="horz"/>
          <a:lstStyle/>
          <a:p>
            <a:pPr>
              <a:defRPr sz="900" b="0" i="0" u="none"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max val="13"/>
          <c:min val="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s-CO"/>
          </a:p>
        </c:txPr>
        <c:crossAx val="859934144"/>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i="0" u="none" strike="noStrike" baseline="0">
                <a:solidFill>
                  <a:srgbClr val="333333"/>
                </a:solidFill>
                <a:latin typeface="Calibri"/>
                <a:ea typeface="Calibri"/>
                <a:cs typeface="Calibri"/>
              </a:defRPr>
            </a:pPr>
            <a:r>
              <a:rPr lang="es-ES"/>
              <a:t>Evolución de la TRM</a:t>
            </a:r>
          </a:p>
        </c:rich>
      </c:tx>
      <c:overlay val="0"/>
      <c:spPr>
        <a:noFill/>
        <a:ln w="25400">
          <a:noFill/>
        </a:ln>
      </c:spPr>
    </c:title>
    <c:autoTitleDeleted val="0"/>
    <c:plotArea>
      <c:layout>
        <c:manualLayout>
          <c:layoutTarget val="inner"/>
          <c:xMode val="edge"/>
          <c:yMode val="edge"/>
          <c:x val="0.11664509848028706"/>
          <c:y val="0.14280181345698259"/>
          <c:w val="0.84706735871885497"/>
          <c:h val="0.66249237081013013"/>
        </c:manualLayout>
      </c:layout>
      <c:lineChart>
        <c:grouping val="standard"/>
        <c:varyColors val="0"/>
        <c:ser>
          <c:idx val="0"/>
          <c:order val="0"/>
          <c:tx>
            <c:strRef>
              <c:f>Mes!$D$1</c:f>
              <c:strCache>
                <c:ptCount val="1"/>
                <c:pt idx="0">
                  <c:v>TRM_pesos_dólar</c:v>
                </c:pt>
              </c:strCache>
            </c:strRef>
          </c:tx>
          <c:spPr>
            <a:ln w="28575" cap="rnd">
              <a:solidFill>
                <a:schemeClr val="accent1"/>
              </a:solidFill>
              <a:round/>
            </a:ln>
            <a:effectLst/>
          </c:spPr>
          <c:marker>
            <c:symbol val="none"/>
          </c:marker>
          <c:cat>
            <c:numRef>
              <c:f>Mes!$A$2:$A$203</c:f>
              <c:numCache>
                <c:formatCode>mmm\-yy</c:formatCode>
                <c:ptCount val="202"/>
                <c:pt idx="0">
                  <c:v>40148</c:v>
                </c:pt>
                <c:pt idx="1">
                  <c:v>40179</c:v>
                </c:pt>
                <c:pt idx="2">
                  <c:v>40210</c:v>
                </c:pt>
                <c:pt idx="3">
                  <c:v>40238</c:v>
                </c:pt>
                <c:pt idx="4">
                  <c:v>40269</c:v>
                </c:pt>
                <c:pt idx="5">
                  <c:v>40299</c:v>
                </c:pt>
                <c:pt idx="6">
                  <c:v>40330</c:v>
                </c:pt>
                <c:pt idx="7">
                  <c:v>40360</c:v>
                </c:pt>
                <c:pt idx="8">
                  <c:v>40391</c:v>
                </c:pt>
                <c:pt idx="9">
                  <c:v>40422</c:v>
                </c:pt>
                <c:pt idx="10">
                  <c:v>40452</c:v>
                </c:pt>
                <c:pt idx="11">
                  <c:v>40483</c:v>
                </c:pt>
                <c:pt idx="12">
                  <c:v>40513</c:v>
                </c:pt>
                <c:pt idx="13">
                  <c:v>40544</c:v>
                </c:pt>
                <c:pt idx="14">
                  <c:v>40575</c:v>
                </c:pt>
                <c:pt idx="15">
                  <c:v>40603</c:v>
                </c:pt>
                <c:pt idx="16">
                  <c:v>40634</c:v>
                </c:pt>
                <c:pt idx="17">
                  <c:v>40664</c:v>
                </c:pt>
                <c:pt idx="18">
                  <c:v>40695</c:v>
                </c:pt>
                <c:pt idx="19">
                  <c:v>40725</c:v>
                </c:pt>
                <c:pt idx="20">
                  <c:v>40756</c:v>
                </c:pt>
                <c:pt idx="21">
                  <c:v>40787</c:v>
                </c:pt>
                <c:pt idx="22">
                  <c:v>40817</c:v>
                </c:pt>
                <c:pt idx="23">
                  <c:v>40848</c:v>
                </c:pt>
                <c:pt idx="24">
                  <c:v>40878</c:v>
                </c:pt>
                <c:pt idx="25">
                  <c:v>40909</c:v>
                </c:pt>
                <c:pt idx="26">
                  <c:v>40940</c:v>
                </c:pt>
                <c:pt idx="27">
                  <c:v>40969</c:v>
                </c:pt>
                <c:pt idx="28">
                  <c:v>41000</c:v>
                </c:pt>
                <c:pt idx="29">
                  <c:v>41030</c:v>
                </c:pt>
                <c:pt idx="30">
                  <c:v>41061</c:v>
                </c:pt>
                <c:pt idx="31">
                  <c:v>41091</c:v>
                </c:pt>
                <c:pt idx="32">
                  <c:v>41122</c:v>
                </c:pt>
                <c:pt idx="33">
                  <c:v>41153</c:v>
                </c:pt>
                <c:pt idx="34">
                  <c:v>41183</c:v>
                </c:pt>
                <c:pt idx="35">
                  <c:v>41214</c:v>
                </c:pt>
                <c:pt idx="36">
                  <c:v>41244</c:v>
                </c:pt>
                <c:pt idx="37">
                  <c:v>41275</c:v>
                </c:pt>
                <c:pt idx="38">
                  <c:v>41306</c:v>
                </c:pt>
                <c:pt idx="39">
                  <c:v>41334</c:v>
                </c:pt>
                <c:pt idx="40">
                  <c:v>41365</c:v>
                </c:pt>
                <c:pt idx="41">
                  <c:v>41395</c:v>
                </c:pt>
                <c:pt idx="42">
                  <c:v>41426</c:v>
                </c:pt>
                <c:pt idx="43">
                  <c:v>41456</c:v>
                </c:pt>
                <c:pt idx="44">
                  <c:v>41487</c:v>
                </c:pt>
                <c:pt idx="45">
                  <c:v>41518</c:v>
                </c:pt>
                <c:pt idx="46">
                  <c:v>41548</c:v>
                </c:pt>
                <c:pt idx="47">
                  <c:v>41579</c:v>
                </c:pt>
                <c:pt idx="48">
                  <c:v>41609</c:v>
                </c:pt>
                <c:pt idx="49">
                  <c:v>41640</c:v>
                </c:pt>
                <c:pt idx="50">
                  <c:v>41671</c:v>
                </c:pt>
                <c:pt idx="51">
                  <c:v>41699</c:v>
                </c:pt>
                <c:pt idx="52">
                  <c:v>41730</c:v>
                </c:pt>
                <c:pt idx="53">
                  <c:v>41760</c:v>
                </c:pt>
                <c:pt idx="54">
                  <c:v>41791</c:v>
                </c:pt>
                <c:pt idx="55">
                  <c:v>41821</c:v>
                </c:pt>
                <c:pt idx="56">
                  <c:v>41852</c:v>
                </c:pt>
                <c:pt idx="57">
                  <c:v>41883</c:v>
                </c:pt>
                <c:pt idx="58">
                  <c:v>41913</c:v>
                </c:pt>
                <c:pt idx="59">
                  <c:v>41944</c:v>
                </c:pt>
                <c:pt idx="60">
                  <c:v>41974</c:v>
                </c:pt>
                <c:pt idx="61">
                  <c:v>42005</c:v>
                </c:pt>
                <c:pt idx="62">
                  <c:v>42036</c:v>
                </c:pt>
                <c:pt idx="63">
                  <c:v>42064</c:v>
                </c:pt>
                <c:pt idx="64">
                  <c:v>42095</c:v>
                </c:pt>
                <c:pt idx="65">
                  <c:v>42125</c:v>
                </c:pt>
                <c:pt idx="66">
                  <c:v>42156</c:v>
                </c:pt>
                <c:pt idx="67">
                  <c:v>42186</c:v>
                </c:pt>
                <c:pt idx="68">
                  <c:v>42217</c:v>
                </c:pt>
                <c:pt idx="69">
                  <c:v>42248</c:v>
                </c:pt>
                <c:pt idx="70">
                  <c:v>42278</c:v>
                </c:pt>
                <c:pt idx="71">
                  <c:v>42309</c:v>
                </c:pt>
                <c:pt idx="72">
                  <c:v>42339</c:v>
                </c:pt>
                <c:pt idx="73">
                  <c:v>42370</c:v>
                </c:pt>
                <c:pt idx="74">
                  <c:v>42401</c:v>
                </c:pt>
                <c:pt idx="75">
                  <c:v>42430</c:v>
                </c:pt>
                <c:pt idx="76">
                  <c:v>42461</c:v>
                </c:pt>
                <c:pt idx="77">
                  <c:v>42491</c:v>
                </c:pt>
                <c:pt idx="78">
                  <c:v>42522</c:v>
                </c:pt>
                <c:pt idx="79">
                  <c:v>42552</c:v>
                </c:pt>
                <c:pt idx="80">
                  <c:v>42583</c:v>
                </c:pt>
                <c:pt idx="81">
                  <c:v>42614</c:v>
                </c:pt>
                <c:pt idx="82">
                  <c:v>42644</c:v>
                </c:pt>
                <c:pt idx="83">
                  <c:v>42675</c:v>
                </c:pt>
                <c:pt idx="84">
                  <c:v>42705</c:v>
                </c:pt>
                <c:pt idx="85">
                  <c:v>42736</c:v>
                </c:pt>
                <c:pt idx="86">
                  <c:v>42767</c:v>
                </c:pt>
                <c:pt idx="87">
                  <c:v>42795</c:v>
                </c:pt>
                <c:pt idx="88">
                  <c:v>42826</c:v>
                </c:pt>
                <c:pt idx="89">
                  <c:v>42856</c:v>
                </c:pt>
                <c:pt idx="90">
                  <c:v>42887</c:v>
                </c:pt>
                <c:pt idx="91">
                  <c:v>42917</c:v>
                </c:pt>
                <c:pt idx="92">
                  <c:v>42948</c:v>
                </c:pt>
                <c:pt idx="93">
                  <c:v>42979</c:v>
                </c:pt>
                <c:pt idx="94">
                  <c:v>43009</c:v>
                </c:pt>
                <c:pt idx="95">
                  <c:v>43040</c:v>
                </c:pt>
                <c:pt idx="96">
                  <c:v>43070</c:v>
                </c:pt>
                <c:pt idx="97">
                  <c:v>43101</c:v>
                </c:pt>
                <c:pt idx="98">
                  <c:v>43132</c:v>
                </c:pt>
                <c:pt idx="99">
                  <c:v>43160</c:v>
                </c:pt>
                <c:pt idx="100">
                  <c:v>43191</c:v>
                </c:pt>
                <c:pt idx="101">
                  <c:v>43221</c:v>
                </c:pt>
                <c:pt idx="102">
                  <c:v>43252</c:v>
                </c:pt>
                <c:pt idx="103">
                  <c:v>43282</c:v>
                </c:pt>
                <c:pt idx="104">
                  <c:v>43313</c:v>
                </c:pt>
                <c:pt idx="105">
                  <c:v>43344</c:v>
                </c:pt>
                <c:pt idx="106">
                  <c:v>43374</c:v>
                </c:pt>
                <c:pt idx="107">
                  <c:v>43405</c:v>
                </c:pt>
                <c:pt idx="108">
                  <c:v>43435</c:v>
                </c:pt>
                <c:pt idx="109">
                  <c:v>43466</c:v>
                </c:pt>
                <c:pt idx="110">
                  <c:v>43497</c:v>
                </c:pt>
                <c:pt idx="111">
                  <c:v>43525</c:v>
                </c:pt>
                <c:pt idx="112">
                  <c:v>43556</c:v>
                </c:pt>
                <c:pt idx="113">
                  <c:v>43586</c:v>
                </c:pt>
                <c:pt idx="114">
                  <c:v>43617</c:v>
                </c:pt>
                <c:pt idx="115">
                  <c:v>43647</c:v>
                </c:pt>
                <c:pt idx="116">
                  <c:v>43678</c:v>
                </c:pt>
                <c:pt idx="117">
                  <c:v>43709</c:v>
                </c:pt>
                <c:pt idx="118">
                  <c:v>43739</c:v>
                </c:pt>
                <c:pt idx="119">
                  <c:v>43770</c:v>
                </c:pt>
                <c:pt idx="120">
                  <c:v>43800</c:v>
                </c:pt>
                <c:pt idx="121">
                  <c:v>43831</c:v>
                </c:pt>
                <c:pt idx="122">
                  <c:v>43862</c:v>
                </c:pt>
                <c:pt idx="123">
                  <c:v>43891</c:v>
                </c:pt>
                <c:pt idx="124">
                  <c:v>43922</c:v>
                </c:pt>
                <c:pt idx="125">
                  <c:v>43952</c:v>
                </c:pt>
                <c:pt idx="126">
                  <c:v>43983</c:v>
                </c:pt>
                <c:pt idx="127">
                  <c:v>44013</c:v>
                </c:pt>
                <c:pt idx="128">
                  <c:v>44044</c:v>
                </c:pt>
                <c:pt idx="129">
                  <c:v>44075</c:v>
                </c:pt>
                <c:pt idx="130">
                  <c:v>44105</c:v>
                </c:pt>
                <c:pt idx="131">
                  <c:v>44136</c:v>
                </c:pt>
                <c:pt idx="132">
                  <c:v>44166</c:v>
                </c:pt>
                <c:pt idx="133">
                  <c:v>44197</c:v>
                </c:pt>
                <c:pt idx="134">
                  <c:v>44228</c:v>
                </c:pt>
                <c:pt idx="135">
                  <c:v>44256</c:v>
                </c:pt>
                <c:pt idx="136">
                  <c:v>44287</c:v>
                </c:pt>
                <c:pt idx="137">
                  <c:v>44317</c:v>
                </c:pt>
                <c:pt idx="138">
                  <c:v>44348</c:v>
                </c:pt>
                <c:pt idx="139">
                  <c:v>44378</c:v>
                </c:pt>
                <c:pt idx="140">
                  <c:v>44409</c:v>
                </c:pt>
                <c:pt idx="141">
                  <c:v>44440</c:v>
                </c:pt>
                <c:pt idx="142">
                  <c:v>44470</c:v>
                </c:pt>
                <c:pt idx="143">
                  <c:v>44501</c:v>
                </c:pt>
                <c:pt idx="144">
                  <c:v>44531</c:v>
                </c:pt>
                <c:pt idx="145">
                  <c:v>44562</c:v>
                </c:pt>
                <c:pt idx="146">
                  <c:v>44593</c:v>
                </c:pt>
                <c:pt idx="147">
                  <c:v>44621</c:v>
                </c:pt>
                <c:pt idx="148">
                  <c:v>44652</c:v>
                </c:pt>
                <c:pt idx="149">
                  <c:v>44682</c:v>
                </c:pt>
                <c:pt idx="150">
                  <c:v>44713</c:v>
                </c:pt>
                <c:pt idx="151">
                  <c:v>44743</c:v>
                </c:pt>
                <c:pt idx="152">
                  <c:v>44774</c:v>
                </c:pt>
                <c:pt idx="153">
                  <c:v>44805</c:v>
                </c:pt>
                <c:pt idx="154">
                  <c:v>44835</c:v>
                </c:pt>
                <c:pt idx="155">
                  <c:v>44866</c:v>
                </c:pt>
                <c:pt idx="156">
                  <c:v>44896</c:v>
                </c:pt>
                <c:pt idx="157">
                  <c:v>44927</c:v>
                </c:pt>
                <c:pt idx="158">
                  <c:v>44958</c:v>
                </c:pt>
                <c:pt idx="159">
                  <c:v>44986</c:v>
                </c:pt>
                <c:pt idx="160">
                  <c:v>45017</c:v>
                </c:pt>
                <c:pt idx="161">
                  <c:v>45047</c:v>
                </c:pt>
                <c:pt idx="162">
                  <c:v>45078</c:v>
                </c:pt>
                <c:pt idx="163">
                  <c:v>45108</c:v>
                </c:pt>
                <c:pt idx="164">
                  <c:v>45139</c:v>
                </c:pt>
                <c:pt idx="165">
                  <c:v>45170</c:v>
                </c:pt>
                <c:pt idx="166">
                  <c:v>45200</c:v>
                </c:pt>
                <c:pt idx="167">
                  <c:v>45231</c:v>
                </c:pt>
                <c:pt idx="168">
                  <c:v>45261</c:v>
                </c:pt>
                <c:pt idx="169">
                  <c:v>45292</c:v>
                </c:pt>
                <c:pt idx="170">
                  <c:v>45323</c:v>
                </c:pt>
                <c:pt idx="171">
                  <c:v>45352</c:v>
                </c:pt>
                <c:pt idx="172">
                  <c:v>45383</c:v>
                </c:pt>
                <c:pt idx="173">
                  <c:v>45413</c:v>
                </c:pt>
                <c:pt idx="174">
                  <c:v>45444</c:v>
                </c:pt>
                <c:pt idx="175">
                  <c:v>45474</c:v>
                </c:pt>
                <c:pt idx="176">
                  <c:v>45505</c:v>
                </c:pt>
                <c:pt idx="177">
                  <c:v>45536</c:v>
                </c:pt>
                <c:pt idx="178">
                  <c:v>45566</c:v>
                </c:pt>
                <c:pt idx="179">
                  <c:v>45597</c:v>
                </c:pt>
                <c:pt idx="180">
                  <c:v>45627</c:v>
                </c:pt>
                <c:pt idx="181">
                  <c:v>45658</c:v>
                </c:pt>
                <c:pt idx="182">
                  <c:v>45689</c:v>
                </c:pt>
                <c:pt idx="183">
                  <c:v>45717</c:v>
                </c:pt>
                <c:pt idx="184">
                  <c:v>45748</c:v>
                </c:pt>
                <c:pt idx="185">
                  <c:v>45778</c:v>
                </c:pt>
                <c:pt idx="186">
                  <c:v>45809</c:v>
                </c:pt>
                <c:pt idx="187">
                  <c:v>45839</c:v>
                </c:pt>
                <c:pt idx="188">
                  <c:v>45870</c:v>
                </c:pt>
                <c:pt idx="189">
                  <c:v>45901</c:v>
                </c:pt>
                <c:pt idx="190">
                  <c:v>45931</c:v>
                </c:pt>
                <c:pt idx="191">
                  <c:v>45962</c:v>
                </c:pt>
                <c:pt idx="192">
                  <c:v>45992</c:v>
                </c:pt>
                <c:pt idx="193">
                  <c:v>46023</c:v>
                </c:pt>
                <c:pt idx="194">
                  <c:v>46054</c:v>
                </c:pt>
                <c:pt idx="195">
                  <c:v>46082</c:v>
                </c:pt>
                <c:pt idx="196">
                  <c:v>46113</c:v>
                </c:pt>
                <c:pt idx="197">
                  <c:v>46143</c:v>
                </c:pt>
                <c:pt idx="198">
                  <c:v>46174</c:v>
                </c:pt>
                <c:pt idx="199">
                  <c:v>46204</c:v>
                </c:pt>
                <c:pt idx="200">
                  <c:v>46235</c:v>
                </c:pt>
                <c:pt idx="201">
                  <c:v>46266</c:v>
                </c:pt>
              </c:numCache>
            </c:numRef>
          </c:cat>
          <c:val>
            <c:numRef>
              <c:f>Mes!$D$2:$D$203</c:f>
              <c:numCache>
                <c:formatCode>#,##0.00</c:formatCode>
                <c:ptCount val="202"/>
                <c:pt idx="0">
                  <c:v>2044.23</c:v>
                </c:pt>
                <c:pt idx="1">
                  <c:v>1982.29</c:v>
                </c:pt>
                <c:pt idx="2">
                  <c:v>1932.32</c:v>
                </c:pt>
                <c:pt idx="3">
                  <c:v>1928.59</c:v>
                </c:pt>
                <c:pt idx="4">
                  <c:v>1969.75</c:v>
                </c:pt>
                <c:pt idx="5">
                  <c:v>1971.55</c:v>
                </c:pt>
                <c:pt idx="6">
                  <c:v>1916.46</c:v>
                </c:pt>
                <c:pt idx="7">
                  <c:v>1842.79</c:v>
                </c:pt>
                <c:pt idx="8">
                  <c:v>1823.74</c:v>
                </c:pt>
                <c:pt idx="9">
                  <c:v>1799.89</c:v>
                </c:pt>
                <c:pt idx="10">
                  <c:v>1831.64</c:v>
                </c:pt>
                <c:pt idx="11">
                  <c:v>1916.96</c:v>
                </c:pt>
                <c:pt idx="12">
                  <c:v>1913.98</c:v>
                </c:pt>
                <c:pt idx="13">
                  <c:v>1857.98</c:v>
                </c:pt>
                <c:pt idx="14">
                  <c:v>1895.56</c:v>
                </c:pt>
                <c:pt idx="15">
                  <c:v>1879.47</c:v>
                </c:pt>
                <c:pt idx="16">
                  <c:v>1768.19</c:v>
                </c:pt>
                <c:pt idx="17">
                  <c:v>1817.34</c:v>
                </c:pt>
                <c:pt idx="18">
                  <c:v>1780.16</c:v>
                </c:pt>
                <c:pt idx="19">
                  <c:v>1777.82</c:v>
                </c:pt>
                <c:pt idx="20">
                  <c:v>1783.66</c:v>
                </c:pt>
                <c:pt idx="21">
                  <c:v>1915.1</c:v>
                </c:pt>
                <c:pt idx="22">
                  <c:v>1863.06</c:v>
                </c:pt>
                <c:pt idx="23">
                  <c:v>1967.18</c:v>
                </c:pt>
                <c:pt idx="24">
                  <c:v>1942.7</c:v>
                </c:pt>
                <c:pt idx="25">
                  <c:v>1815.08</c:v>
                </c:pt>
                <c:pt idx="26">
                  <c:v>1767.83</c:v>
                </c:pt>
                <c:pt idx="27">
                  <c:v>1792.07</c:v>
                </c:pt>
                <c:pt idx="28">
                  <c:v>1761.2</c:v>
                </c:pt>
                <c:pt idx="29">
                  <c:v>1827.83</c:v>
                </c:pt>
                <c:pt idx="30">
                  <c:v>1784.6</c:v>
                </c:pt>
                <c:pt idx="31">
                  <c:v>1789.02</c:v>
                </c:pt>
                <c:pt idx="32">
                  <c:v>1830.5</c:v>
                </c:pt>
                <c:pt idx="33">
                  <c:v>1800.52</c:v>
                </c:pt>
                <c:pt idx="34">
                  <c:v>1829.89</c:v>
                </c:pt>
                <c:pt idx="35">
                  <c:v>1817.93</c:v>
                </c:pt>
                <c:pt idx="36">
                  <c:v>1768.23</c:v>
                </c:pt>
                <c:pt idx="37">
                  <c:v>1773.24</c:v>
                </c:pt>
                <c:pt idx="38">
                  <c:v>1816.42</c:v>
                </c:pt>
                <c:pt idx="39">
                  <c:v>1832.2</c:v>
                </c:pt>
                <c:pt idx="40">
                  <c:v>1828.79</c:v>
                </c:pt>
                <c:pt idx="41">
                  <c:v>1891.48</c:v>
                </c:pt>
                <c:pt idx="42">
                  <c:v>1929</c:v>
                </c:pt>
                <c:pt idx="43">
                  <c:v>1890.33</c:v>
                </c:pt>
                <c:pt idx="44">
                  <c:v>1935.43</c:v>
                </c:pt>
                <c:pt idx="45">
                  <c:v>1914.65</c:v>
                </c:pt>
                <c:pt idx="46">
                  <c:v>1884.06</c:v>
                </c:pt>
                <c:pt idx="47">
                  <c:v>1931.88</c:v>
                </c:pt>
                <c:pt idx="48">
                  <c:v>1926.83</c:v>
                </c:pt>
                <c:pt idx="49">
                  <c:v>2008.26</c:v>
                </c:pt>
                <c:pt idx="50">
                  <c:v>2054.9</c:v>
                </c:pt>
                <c:pt idx="51">
                  <c:v>1965.32</c:v>
                </c:pt>
                <c:pt idx="52">
                  <c:v>1935.14</c:v>
                </c:pt>
                <c:pt idx="53">
                  <c:v>1900.64</c:v>
                </c:pt>
                <c:pt idx="54">
                  <c:v>1881.19</c:v>
                </c:pt>
                <c:pt idx="55">
                  <c:v>1872.43</c:v>
                </c:pt>
                <c:pt idx="56">
                  <c:v>1918.62</c:v>
                </c:pt>
                <c:pt idx="57">
                  <c:v>2028.48</c:v>
                </c:pt>
                <c:pt idx="58">
                  <c:v>2050.52</c:v>
                </c:pt>
                <c:pt idx="59">
                  <c:v>2206.19</c:v>
                </c:pt>
                <c:pt idx="60">
                  <c:v>2392.46</c:v>
                </c:pt>
                <c:pt idx="61">
                  <c:v>2441.1</c:v>
                </c:pt>
                <c:pt idx="62">
                  <c:v>2496.9899999999998</c:v>
                </c:pt>
                <c:pt idx="63">
                  <c:v>2576.0500000000002</c:v>
                </c:pt>
                <c:pt idx="64">
                  <c:v>2388.06</c:v>
                </c:pt>
                <c:pt idx="65">
                  <c:v>2533.79</c:v>
                </c:pt>
                <c:pt idx="66">
                  <c:v>2585.11</c:v>
                </c:pt>
                <c:pt idx="67">
                  <c:v>2866.04</c:v>
                </c:pt>
                <c:pt idx="68">
                  <c:v>3101.1</c:v>
                </c:pt>
                <c:pt idx="69">
                  <c:v>3121.94</c:v>
                </c:pt>
                <c:pt idx="70">
                  <c:v>2897.83</c:v>
                </c:pt>
                <c:pt idx="71">
                  <c:v>3101.1</c:v>
                </c:pt>
                <c:pt idx="72">
                  <c:v>3149.47</c:v>
                </c:pt>
                <c:pt idx="73">
                  <c:v>3287.31</c:v>
                </c:pt>
                <c:pt idx="74">
                  <c:v>3306</c:v>
                </c:pt>
                <c:pt idx="75">
                  <c:v>3022.35</c:v>
                </c:pt>
                <c:pt idx="76">
                  <c:v>2851.14</c:v>
                </c:pt>
                <c:pt idx="77">
                  <c:v>3069.17</c:v>
                </c:pt>
                <c:pt idx="78">
                  <c:v>2916.15</c:v>
                </c:pt>
                <c:pt idx="79">
                  <c:v>3081.75</c:v>
                </c:pt>
                <c:pt idx="80">
                  <c:v>2933.82</c:v>
                </c:pt>
                <c:pt idx="81">
                  <c:v>2879.95</c:v>
                </c:pt>
                <c:pt idx="82">
                  <c:v>2967.66</c:v>
                </c:pt>
                <c:pt idx="83">
                  <c:v>3165.09</c:v>
                </c:pt>
                <c:pt idx="84">
                  <c:v>3000.71</c:v>
                </c:pt>
                <c:pt idx="85">
                  <c:v>2936.66</c:v>
                </c:pt>
                <c:pt idx="86">
                  <c:v>2896.27</c:v>
                </c:pt>
                <c:pt idx="87">
                  <c:v>2880.24</c:v>
                </c:pt>
                <c:pt idx="88">
                  <c:v>2947.85</c:v>
                </c:pt>
                <c:pt idx="89">
                  <c:v>2920.42</c:v>
                </c:pt>
                <c:pt idx="90">
                  <c:v>3038.26</c:v>
                </c:pt>
                <c:pt idx="91">
                  <c:v>2995.23</c:v>
                </c:pt>
                <c:pt idx="92">
                  <c:v>2937.09</c:v>
                </c:pt>
                <c:pt idx="93">
                  <c:v>2936.67</c:v>
                </c:pt>
                <c:pt idx="94">
                  <c:v>3011.44</c:v>
                </c:pt>
                <c:pt idx="95">
                  <c:v>3006.09</c:v>
                </c:pt>
                <c:pt idx="96">
                  <c:v>2984</c:v>
                </c:pt>
                <c:pt idx="97">
                  <c:v>2844.14</c:v>
                </c:pt>
                <c:pt idx="98">
                  <c:v>2855.93</c:v>
                </c:pt>
                <c:pt idx="99">
                  <c:v>2780.47</c:v>
                </c:pt>
                <c:pt idx="100">
                  <c:v>2806.28</c:v>
                </c:pt>
                <c:pt idx="101">
                  <c:v>2879.32</c:v>
                </c:pt>
                <c:pt idx="102">
                  <c:v>2930.8</c:v>
                </c:pt>
                <c:pt idx="103">
                  <c:v>2875.72</c:v>
                </c:pt>
                <c:pt idx="104">
                  <c:v>3027.39</c:v>
                </c:pt>
                <c:pt idx="105">
                  <c:v>2972.18</c:v>
                </c:pt>
                <c:pt idx="106">
                  <c:v>3202.44</c:v>
                </c:pt>
                <c:pt idx="107">
                  <c:v>3240.02</c:v>
                </c:pt>
                <c:pt idx="108">
                  <c:v>3249.75</c:v>
                </c:pt>
                <c:pt idx="109">
                  <c:v>3163.46</c:v>
                </c:pt>
                <c:pt idx="110">
                  <c:v>3072.01</c:v>
                </c:pt>
                <c:pt idx="111">
                  <c:v>3174.79</c:v>
                </c:pt>
                <c:pt idx="112">
                  <c:v>3247.72</c:v>
                </c:pt>
                <c:pt idx="113">
                  <c:v>3357.82</c:v>
                </c:pt>
                <c:pt idx="114">
                  <c:v>3205.67</c:v>
                </c:pt>
                <c:pt idx="115">
                  <c:v>3296.85</c:v>
                </c:pt>
                <c:pt idx="116">
                  <c:v>3427.29</c:v>
                </c:pt>
                <c:pt idx="117">
                  <c:v>3462.01</c:v>
                </c:pt>
                <c:pt idx="118">
                  <c:v>3389.94</c:v>
                </c:pt>
                <c:pt idx="119">
                  <c:v>3522.48</c:v>
                </c:pt>
                <c:pt idx="120">
                  <c:v>3277.14</c:v>
                </c:pt>
                <c:pt idx="121">
                  <c:v>3411.45</c:v>
                </c:pt>
                <c:pt idx="122">
                  <c:v>3539.86</c:v>
                </c:pt>
                <c:pt idx="123">
                  <c:v>4064.81</c:v>
                </c:pt>
                <c:pt idx="124">
                  <c:v>3983.29</c:v>
                </c:pt>
                <c:pt idx="125">
                  <c:v>3718.82</c:v>
                </c:pt>
                <c:pt idx="126">
                  <c:v>3758.91</c:v>
                </c:pt>
                <c:pt idx="127">
                  <c:v>3739.49</c:v>
                </c:pt>
                <c:pt idx="128">
                  <c:v>3760.38</c:v>
                </c:pt>
                <c:pt idx="129">
                  <c:v>3878.94</c:v>
                </c:pt>
                <c:pt idx="130">
                  <c:v>3858.56</c:v>
                </c:pt>
                <c:pt idx="131">
                  <c:v>3611.44</c:v>
                </c:pt>
                <c:pt idx="132">
                  <c:v>3432.5</c:v>
                </c:pt>
                <c:pt idx="133">
                  <c:v>3559.46</c:v>
                </c:pt>
                <c:pt idx="134">
                  <c:v>3624.39</c:v>
                </c:pt>
                <c:pt idx="135">
                  <c:v>3736.91</c:v>
                </c:pt>
                <c:pt idx="136">
                  <c:v>3712.89</c:v>
                </c:pt>
                <c:pt idx="137">
                  <c:v>3715.28</c:v>
                </c:pt>
                <c:pt idx="138">
                  <c:v>3756.67</c:v>
                </c:pt>
                <c:pt idx="139">
                  <c:v>3867.88</c:v>
                </c:pt>
                <c:pt idx="140">
                  <c:v>3806.87</c:v>
                </c:pt>
                <c:pt idx="141">
                  <c:v>3834.68</c:v>
                </c:pt>
                <c:pt idx="142">
                  <c:v>3784.44</c:v>
                </c:pt>
                <c:pt idx="143">
                  <c:v>4010.98</c:v>
                </c:pt>
                <c:pt idx="144">
                  <c:v>3981.16</c:v>
                </c:pt>
                <c:pt idx="145">
                  <c:v>3982.6</c:v>
                </c:pt>
                <c:pt idx="146">
                  <c:v>3910.64</c:v>
                </c:pt>
                <c:pt idx="147">
                  <c:v>3748.15</c:v>
                </c:pt>
                <c:pt idx="148">
                  <c:v>3966.27</c:v>
                </c:pt>
                <c:pt idx="149">
                  <c:v>3912.34</c:v>
                </c:pt>
                <c:pt idx="150">
                  <c:v>4127.47</c:v>
                </c:pt>
                <c:pt idx="151">
                  <c:v>4300.3</c:v>
                </c:pt>
                <c:pt idx="152">
                  <c:v>4400.16</c:v>
                </c:pt>
                <c:pt idx="153">
                  <c:v>4532.07</c:v>
                </c:pt>
                <c:pt idx="154">
                  <c:v>4819.12</c:v>
                </c:pt>
                <c:pt idx="155">
                  <c:v>4809.51</c:v>
                </c:pt>
                <c:pt idx="156">
                  <c:v>4810.2</c:v>
                </c:pt>
                <c:pt idx="157">
                  <c:v>4632.2</c:v>
                </c:pt>
                <c:pt idx="158">
                  <c:v>4808.1400000000003</c:v>
                </c:pt>
                <c:pt idx="159">
                  <c:v>4627.2700000000004</c:v>
                </c:pt>
                <c:pt idx="160">
                  <c:v>4669</c:v>
                </c:pt>
                <c:pt idx="161">
                  <c:v>4408.6499999999996</c:v>
                </c:pt>
                <c:pt idx="162">
                  <c:v>4191.28</c:v>
                </c:pt>
                <c:pt idx="163">
                  <c:v>3923.49</c:v>
                </c:pt>
                <c:pt idx="164">
                  <c:v>4085.33</c:v>
                </c:pt>
                <c:pt idx="165">
                  <c:v>4053.76</c:v>
                </c:pt>
                <c:pt idx="166">
                  <c:v>4060.83</c:v>
                </c:pt>
                <c:pt idx="167">
                  <c:v>3980.67</c:v>
                </c:pt>
                <c:pt idx="168">
                  <c:v>3822.05</c:v>
                </c:pt>
                <c:pt idx="169">
                  <c:v>3925.6</c:v>
                </c:pt>
                <c:pt idx="170">
                  <c:v>3933.56</c:v>
                </c:pt>
                <c:pt idx="171">
                  <c:v>3842.3</c:v>
                </c:pt>
                <c:pt idx="172">
                  <c:v>3873.44</c:v>
                </c:pt>
                <c:pt idx="173">
                  <c:v>3874.32</c:v>
                </c:pt>
                <c:pt idx="174">
                  <c:v>4148.04</c:v>
                </c:pt>
                <c:pt idx="175">
                  <c:v>4089.05</c:v>
                </c:pt>
                <c:pt idx="176">
                  <c:v>4160.3100000000004</c:v>
                </c:pt>
                <c:pt idx="177">
                  <c:v>4164.21</c:v>
                </c:pt>
                <c:pt idx="178">
                  <c:v>4413.46</c:v>
                </c:pt>
                <c:pt idx="179">
                  <c:v>4419.59</c:v>
                </c:pt>
                <c:pt idx="180">
                  <c:v>4409.1499999999996</c:v>
                </c:pt>
                <c:pt idx="181">
                  <c:v>4170.01</c:v>
                </c:pt>
                <c:pt idx="182">
                  <c:v>4120.1099999999997</c:v>
                </c:pt>
                <c:pt idx="183">
                  <c:v>4192.57</c:v>
                </c:pt>
                <c:pt idx="184">
                  <c:v>4198.83</c:v>
                </c:pt>
                <c:pt idx="185">
                  <c:v>4148.72</c:v>
                </c:pt>
                <c:pt idx="186">
                  <c:v>4069.67</c:v>
                </c:pt>
                <c:pt idx="187">
                  <c:v>4179.6899999999996</c:v>
                </c:pt>
                <c:pt idx="188">
                  <c:v>4018.41</c:v>
                </c:pt>
                <c:pt idx="189">
                  <c:v>3901.29</c:v>
                </c:pt>
                <c:pt idx="190">
                  <c:v>3870.42</c:v>
                </c:pt>
                <c:pt idx="191">
                  <c:v>3744.43</c:v>
                </c:pt>
                <c:pt idx="192">
                  <c:v>3757.08</c:v>
                </c:pt>
                <c:pt idx="193">
                  <c:v>3670.47</c:v>
                </c:pt>
                <c:pt idx="194">
                  <c:v>3766.3</c:v>
                </c:pt>
                <c:pt idx="195">
                  <c:v>3669.96</c:v>
                </c:pt>
                <c:pt idx="196">
                  <c:v>3621.86</c:v>
                </c:pt>
                <c:pt idx="197">
                  <c:v>3678.15</c:v>
                </c:pt>
                <c:pt idx="198">
                  <c:v>3443.59</c:v>
                </c:pt>
                <c:pt idx="199">
                  <c:v>3132.42</c:v>
                </c:pt>
                <c:pt idx="200">
                  <c:v>3202.79</c:v>
                </c:pt>
                <c:pt idx="201">
                  <c:v>3341.23</c:v>
                </c:pt>
              </c:numCache>
            </c:numRef>
          </c:val>
          <c:smooth val="0"/>
          <c:extLst>
            <c:ext xmlns:c16="http://schemas.microsoft.com/office/drawing/2014/chart" uri="{C3380CC4-5D6E-409C-BE32-E72D297353CC}">
              <c16:uniqueId val="{00000000-C00F-4C68-99D4-9D2A0DD98F1F}"/>
            </c:ext>
          </c:extLst>
        </c:ser>
        <c:dLbls>
          <c:showLegendKey val="0"/>
          <c:showVal val="0"/>
          <c:showCatName val="0"/>
          <c:showSerName val="0"/>
          <c:showPercent val="0"/>
          <c:showBubbleSize val="0"/>
        </c:dLbls>
        <c:smooth val="0"/>
        <c:axId val="859948288"/>
        <c:axId val="1"/>
      </c:lineChart>
      <c:dateAx>
        <c:axId val="859948288"/>
        <c:scaling>
          <c:orientation val="minMax"/>
        </c:scaling>
        <c:delete val="0"/>
        <c:axPos val="b"/>
        <c:numFmt formatCode="mmm\-yy" sourceLinked="0"/>
        <c:majorTickMark val="none"/>
        <c:minorTickMark val="none"/>
        <c:tickLblPos val="nextTo"/>
        <c:spPr>
          <a:noFill/>
          <a:ln w="9525" cap="flat" cmpd="sng" algn="ctr">
            <a:solidFill>
              <a:schemeClr val="tx1">
                <a:lumMod val="15000"/>
                <a:lumOff val="85000"/>
              </a:schemeClr>
            </a:solidFill>
            <a:round/>
          </a:ln>
          <a:effectLst/>
        </c:spPr>
        <c:txPr>
          <a:bodyPr rot="-2700000" vert="horz"/>
          <a:lstStyle/>
          <a:p>
            <a:pPr>
              <a:defRPr sz="900" b="0" i="0" u="none"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max val="5200"/>
          <c:min val="160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s-CO"/>
          </a:p>
        </c:txPr>
        <c:crossAx val="859948288"/>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i="0" u="none" strike="noStrike" baseline="0">
                <a:solidFill>
                  <a:srgbClr val="333333"/>
                </a:solidFill>
                <a:latin typeface="Calibri"/>
                <a:ea typeface="Calibri"/>
                <a:cs typeface="Calibri"/>
              </a:defRPr>
            </a:pPr>
            <a:r>
              <a:rPr lang="es-ES"/>
              <a:t>Devaluación nominal anual (%)</a:t>
            </a:r>
          </a:p>
        </c:rich>
      </c:tx>
      <c:overlay val="0"/>
      <c:spPr>
        <a:noFill/>
        <a:ln w="25400">
          <a:noFill/>
        </a:ln>
      </c:spPr>
    </c:title>
    <c:autoTitleDeleted val="0"/>
    <c:plotArea>
      <c:layout>
        <c:manualLayout>
          <c:layoutTarget val="inner"/>
          <c:xMode val="edge"/>
          <c:yMode val="edge"/>
          <c:x val="0.11664509848028706"/>
          <c:y val="0.14280181345698259"/>
          <c:w val="0.84706735871885497"/>
          <c:h val="0.66249237081013013"/>
        </c:manualLayout>
      </c:layout>
      <c:lineChart>
        <c:grouping val="standard"/>
        <c:varyColors val="0"/>
        <c:ser>
          <c:idx val="0"/>
          <c:order val="0"/>
          <c:tx>
            <c:strRef>
              <c:f>Mes!$E$1</c:f>
              <c:strCache>
                <c:ptCount val="1"/>
                <c:pt idx="0">
                  <c:v>Devaluacion_nominal_anual</c:v>
                </c:pt>
              </c:strCache>
            </c:strRef>
          </c:tx>
          <c:spPr>
            <a:ln w="28575" cap="rnd">
              <a:solidFill>
                <a:schemeClr val="accent1"/>
              </a:solidFill>
              <a:round/>
            </a:ln>
            <a:effectLst/>
          </c:spPr>
          <c:marker>
            <c:symbol val="none"/>
          </c:marker>
          <c:cat>
            <c:numRef>
              <c:f>Mes!$A$2:$A$203</c:f>
              <c:numCache>
                <c:formatCode>mmm\-yy</c:formatCode>
                <c:ptCount val="202"/>
                <c:pt idx="0">
                  <c:v>40148</c:v>
                </c:pt>
                <c:pt idx="1">
                  <c:v>40179</c:v>
                </c:pt>
                <c:pt idx="2">
                  <c:v>40210</c:v>
                </c:pt>
                <c:pt idx="3">
                  <c:v>40238</c:v>
                </c:pt>
                <c:pt idx="4">
                  <c:v>40269</c:v>
                </c:pt>
                <c:pt idx="5">
                  <c:v>40299</c:v>
                </c:pt>
                <c:pt idx="6">
                  <c:v>40330</c:v>
                </c:pt>
                <c:pt idx="7">
                  <c:v>40360</c:v>
                </c:pt>
                <c:pt idx="8">
                  <c:v>40391</c:v>
                </c:pt>
                <c:pt idx="9">
                  <c:v>40422</c:v>
                </c:pt>
                <c:pt idx="10">
                  <c:v>40452</c:v>
                </c:pt>
                <c:pt idx="11">
                  <c:v>40483</c:v>
                </c:pt>
                <c:pt idx="12">
                  <c:v>40513</c:v>
                </c:pt>
                <c:pt idx="13">
                  <c:v>40544</c:v>
                </c:pt>
                <c:pt idx="14">
                  <c:v>40575</c:v>
                </c:pt>
                <c:pt idx="15">
                  <c:v>40603</c:v>
                </c:pt>
                <c:pt idx="16">
                  <c:v>40634</c:v>
                </c:pt>
                <c:pt idx="17">
                  <c:v>40664</c:v>
                </c:pt>
                <c:pt idx="18">
                  <c:v>40695</c:v>
                </c:pt>
                <c:pt idx="19">
                  <c:v>40725</c:v>
                </c:pt>
                <c:pt idx="20">
                  <c:v>40756</c:v>
                </c:pt>
                <c:pt idx="21">
                  <c:v>40787</c:v>
                </c:pt>
                <c:pt idx="22">
                  <c:v>40817</c:v>
                </c:pt>
                <c:pt idx="23">
                  <c:v>40848</c:v>
                </c:pt>
                <c:pt idx="24">
                  <c:v>40878</c:v>
                </c:pt>
                <c:pt idx="25">
                  <c:v>40909</c:v>
                </c:pt>
                <c:pt idx="26">
                  <c:v>40940</c:v>
                </c:pt>
                <c:pt idx="27">
                  <c:v>40969</c:v>
                </c:pt>
                <c:pt idx="28">
                  <c:v>41000</c:v>
                </c:pt>
                <c:pt idx="29">
                  <c:v>41030</c:v>
                </c:pt>
                <c:pt idx="30">
                  <c:v>41061</c:v>
                </c:pt>
                <c:pt idx="31">
                  <c:v>41091</c:v>
                </c:pt>
                <c:pt idx="32">
                  <c:v>41122</c:v>
                </c:pt>
                <c:pt idx="33">
                  <c:v>41153</c:v>
                </c:pt>
                <c:pt idx="34">
                  <c:v>41183</c:v>
                </c:pt>
                <c:pt idx="35">
                  <c:v>41214</c:v>
                </c:pt>
                <c:pt idx="36">
                  <c:v>41244</c:v>
                </c:pt>
                <c:pt idx="37">
                  <c:v>41275</c:v>
                </c:pt>
                <c:pt idx="38">
                  <c:v>41306</c:v>
                </c:pt>
                <c:pt idx="39">
                  <c:v>41334</c:v>
                </c:pt>
                <c:pt idx="40">
                  <c:v>41365</c:v>
                </c:pt>
                <c:pt idx="41">
                  <c:v>41395</c:v>
                </c:pt>
                <c:pt idx="42">
                  <c:v>41426</c:v>
                </c:pt>
                <c:pt idx="43">
                  <c:v>41456</c:v>
                </c:pt>
                <c:pt idx="44">
                  <c:v>41487</c:v>
                </c:pt>
                <c:pt idx="45">
                  <c:v>41518</c:v>
                </c:pt>
                <c:pt idx="46">
                  <c:v>41548</c:v>
                </c:pt>
                <c:pt idx="47">
                  <c:v>41579</c:v>
                </c:pt>
                <c:pt idx="48">
                  <c:v>41609</c:v>
                </c:pt>
                <c:pt idx="49">
                  <c:v>41640</c:v>
                </c:pt>
                <c:pt idx="50">
                  <c:v>41671</c:v>
                </c:pt>
                <c:pt idx="51">
                  <c:v>41699</c:v>
                </c:pt>
                <c:pt idx="52">
                  <c:v>41730</c:v>
                </c:pt>
                <c:pt idx="53">
                  <c:v>41760</c:v>
                </c:pt>
                <c:pt idx="54">
                  <c:v>41791</c:v>
                </c:pt>
                <c:pt idx="55">
                  <c:v>41821</c:v>
                </c:pt>
                <c:pt idx="56">
                  <c:v>41852</c:v>
                </c:pt>
                <c:pt idx="57">
                  <c:v>41883</c:v>
                </c:pt>
                <c:pt idx="58">
                  <c:v>41913</c:v>
                </c:pt>
                <c:pt idx="59">
                  <c:v>41944</c:v>
                </c:pt>
                <c:pt idx="60">
                  <c:v>41974</c:v>
                </c:pt>
                <c:pt idx="61">
                  <c:v>42005</c:v>
                </c:pt>
                <c:pt idx="62">
                  <c:v>42036</c:v>
                </c:pt>
                <c:pt idx="63">
                  <c:v>42064</c:v>
                </c:pt>
                <c:pt idx="64">
                  <c:v>42095</c:v>
                </c:pt>
                <c:pt idx="65">
                  <c:v>42125</c:v>
                </c:pt>
                <c:pt idx="66">
                  <c:v>42156</c:v>
                </c:pt>
                <c:pt idx="67">
                  <c:v>42186</c:v>
                </c:pt>
                <c:pt idx="68">
                  <c:v>42217</c:v>
                </c:pt>
                <c:pt idx="69">
                  <c:v>42248</c:v>
                </c:pt>
                <c:pt idx="70">
                  <c:v>42278</c:v>
                </c:pt>
                <c:pt idx="71">
                  <c:v>42309</c:v>
                </c:pt>
                <c:pt idx="72">
                  <c:v>42339</c:v>
                </c:pt>
                <c:pt idx="73">
                  <c:v>42370</c:v>
                </c:pt>
                <c:pt idx="74">
                  <c:v>42401</c:v>
                </c:pt>
                <c:pt idx="75">
                  <c:v>42430</c:v>
                </c:pt>
                <c:pt idx="76">
                  <c:v>42461</c:v>
                </c:pt>
                <c:pt idx="77">
                  <c:v>42491</c:v>
                </c:pt>
                <c:pt idx="78">
                  <c:v>42522</c:v>
                </c:pt>
                <c:pt idx="79">
                  <c:v>42552</c:v>
                </c:pt>
                <c:pt idx="80">
                  <c:v>42583</c:v>
                </c:pt>
                <c:pt idx="81">
                  <c:v>42614</c:v>
                </c:pt>
                <c:pt idx="82">
                  <c:v>42644</c:v>
                </c:pt>
                <c:pt idx="83">
                  <c:v>42675</c:v>
                </c:pt>
                <c:pt idx="84">
                  <c:v>42705</c:v>
                </c:pt>
                <c:pt idx="85">
                  <c:v>42736</c:v>
                </c:pt>
                <c:pt idx="86">
                  <c:v>42767</c:v>
                </c:pt>
                <c:pt idx="87">
                  <c:v>42795</c:v>
                </c:pt>
                <c:pt idx="88">
                  <c:v>42826</c:v>
                </c:pt>
                <c:pt idx="89">
                  <c:v>42856</c:v>
                </c:pt>
                <c:pt idx="90">
                  <c:v>42887</c:v>
                </c:pt>
                <c:pt idx="91">
                  <c:v>42917</c:v>
                </c:pt>
                <c:pt idx="92">
                  <c:v>42948</c:v>
                </c:pt>
                <c:pt idx="93">
                  <c:v>42979</c:v>
                </c:pt>
                <c:pt idx="94">
                  <c:v>43009</c:v>
                </c:pt>
                <c:pt idx="95">
                  <c:v>43040</c:v>
                </c:pt>
                <c:pt idx="96">
                  <c:v>43070</c:v>
                </c:pt>
                <c:pt idx="97">
                  <c:v>43101</c:v>
                </c:pt>
                <c:pt idx="98">
                  <c:v>43132</c:v>
                </c:pt>
                <c:pt idx="99">
                  <c:v>43160</c:v>
                </c:pt>
                <c:pt idx="100">
                  <c:v>43191</c:v>
                </c:pt>
                <c:pt idx="101">
                  <c:v>43221</c:v>
                </c:pt>
                <c:pt idx="102">
                  <c:v>43252</c:v>
                </c:pt>
                <c:pt idx="103">
                  <c:v>43282</c:v>
                </c:pt>
                <c:pt idx="104">
                  <c:v>43313</c:v>
                </c:pt>
                <c:pt idx="105">
                  <c:v>43344</c:v>
                </c:pt>
                <c:pt idx="106">
                  <c:v>43374</c:v>
                </c:pt>
                <c:pt idx="107">
                  <c:v>43405</c:v>
                </c:pt>
                <c:pt idx="108">
                  <c:v>43435</c:v>
                </c:pt>
                <c:pt idx="109">
                  <c:v>43466</c:v>
                </c:pt>
                <c:pt idx="110">
                  <c:v>43497</c:v>
                </c:pt>
                <c:pt idx="111">
                  <c:v>43525</c:v>
                </c:pt>
                <c:pt idx="112">
                  <c:v>43556</c:v>
                </c:pt>
                <c:pt idx="113">
                  <c:v>43586</c:v>
                </c:pt>
                <c:pt idx="114">
                  <c:v>43617</c:v>
                </c:pt>
                <c:pt idx="115">
                  <c:v>43647</c:v>
                </c:pt>
                <c:pt idx="116">
                  <c:v>43678</c:v>
                </c:pt>
                <c:pt idx="117">
                  <c:v>43709</c:v>
                </c:pt>
                <c:pt idx="118">
                  <c:v>43739</c:v>
                </c:pt>
                <c:pt idx="119">
                  <c:v>43770</c:v>
                </c:pt>
                <c:pt idx="120">
                  <c:v>43800</c:v>
                </c:pt>
                <c:pt idx="121">
                  <c:v>43831</c:v>
                </c:pt>
                <c:pt idx="122">
                  <c:v>43862</c:v>
                </c:pt>
                <c:pt idx="123">
                  <c:v>43891</c:v>
                </c:pt>
                <c:pt idx="124">
                  <c:v>43922</c:v>
                </c:pt>
                <c:pt idx="125">
                  <c:v>43952</c:v>
                </c:pt>
                <c:pt idx="126">
                  <c:v>43983</c:v>
                </c:pt>
                <c:pt idx="127">
                  <c:v>44013</c:v>
                </c:pt>
                <c:pt idx="128">
                  <c:v>44044</c:v>
                </c:pt>
                <c:pt idx="129">
                  <c:v>44075</c:v>
                </c:pt>
                <c:pt idx="130">
                  <c:v>44105</c:v>
                </c:pt>
                <c:pt idx="131">
                  <c:v>44136</c:v>
                </c:pt>
                <c:pt idx="132">
                  <c:v>44166</c:v>
                </c:pt>
                <c:pt idx="133">
                  <c:v>44197</c:v>
                </c:pt>
                <c:pt idx="134">
                  <c:v>44228</c:v>
                </c:pt>
                <c:pt idx="135">
                  <c:v>44256</c:v>
                </c:pt>
                <c:pt idx="136">
                  <c:v>44287</c:v>
                </c:pt>
                <c:pt idx="137">
                  <c:v>44317</c:v>
                </c:pt>
                <c:pt idx="138">
                  <c:v>44348</c:v>
                </c:pt>
                <c:pt idx="139">
                  <c:v>44378</c:v>
                </c:pt>
                <c:pt idx="140">
                  <c:v>44409</c:v>
                </c:pt>
                <c:pt idx="141">
                  <c:v>44440</c:v>
                </c:pt>
                <c:pt idx="142">
                  <c:v>44470</c:v>
                </c:pt>
                <c:pt idx="143">
                  <c:v>44501</c:v>
                </c:pt>
                <c:pt idx="144">
                  <c:v>44531</c:v>
                </c:pt>
                <c:pt idx="145">
                  <c:v>44562</c:v>
                </c:pt>
                <c:pt idx="146">
                  <c:v>44593</c:v>
                </c:pt>
                <c:pt idx="147">
                  <c:v>44621</c:v>
                </c:pt>
                <c:pt idx="148">
                  <c:v>44652</c:v>
                </c:pt>
                <c:pt idx="149">
                  <c:v>44682</c:v>
                </c:pt>
                <c:pt idx="150">
                  <c:v>44713</c:v>
                </c:pt>
                <c:pt idx="151">
                  <c:v>44743</c:v>
                </c:pt>
                <c:pt idx="152">
                  <c:v>44774</c:v>
                </c:pt>
                <c:pt idx="153">
                  <c:v>44805</c:v>
                </c:pt>
                <c:pt idx="154">
                  <c:v>44835</c:v>
                </c:pt>
                <c:pt idx="155">
                  <c:v>44866</c:v>
                </c:pt>
                <c:pt idx="156">
                  <c:v>44896</c:v>
                </c:pt>
                <c:pt idx="157">
                  <c:v>44927</c:v>
                </c:pt>
                <c:pt idx="158">
                  <c:v>44958</c:v>
                </c:pt>
                <c:pt idx="159">
                  <c:v>44986</c:v>
                </c:pt>
                <c:pt idx="160">
                  <c:v>45017</c:v>
                </c:pt>
                <c:pt idx="161">
                  <c:v>45047</c:v>
                </c:pt>
                <c:pt idx="162">
                  <c:v>45078</c:v>
                </c:pt>
                <c:pt idx="163">
                  <c:v>45108</c:v>
                </c:pt>
                <c:pt idx="164">
                  <c:v>45139</c:v>
                </c:pt>
                <c:pt idx="165">
                  <c:v>45170</c:v>
                </c:pt>
                <c:pt idx="166">
                  <c:v>45200</c:v>
                </c:pt>
                <c:pt idx="167">
                  <c:v>45231</c:v>
                </c:pt>
                <c:pt idx="168">
                  <c:v>45261</c:v>
                </c:pt>
                <c:pt idx="169">
                  <c:v>45292</c:v>
                </c:pt>
                <c:pt idx="170">
                  <c:v>45323</c:v>
                </c:pt>
                <c:pt idx="171">
                  <c:v>45352</c:v>
                </c:pt>
                <c:pt idx="172">
                  <c:v>45383</c:v>
                </c:pt>
                <c:pt idx="173">
                  <c:v>45413</c:v>
                </c:pt>
                <c:pt idx="174">
                  <c:v>45444</c:v>
                </c:pt>
                <c:pt idx="175">
                  <c:v>45474</c:v>
                </c:pt>
                <c:pt idx="176">
                  <c:v>45505</c:v>
                </c:pt>
                <c:pt idx="177">
                  <c:v>45536</c:v>
                </c:pt>
                <c:pt idx="178">
                  <c:v>45566</c:v>
                </c:pt>
                <c:pt idx="179">
                  <c:v>45597</c:v>
                </c:pt>
                <c:pt idx="180">
                  <c:v>45627</c:v>
                </c:pt>
                <c:pt idx="181">
                  <c:v>45658</c:v>
                </c:pt>
                <c:pt idx="182">
                  <c:v>45689</c:v>
                </c:pt>
                <c:pt idx="183">
                  <c:v>45717</c:v>
                </c:pt>
                <c:pt idx="184">
                  <c:v>45748</c:v>
                </c:pt>
                <c:pt idx="185">
                  <c:v>45778</c:v>
                </c:pt>
                <c:pt idx="186">
                  <c:v>45809</c:v>
                </c:pt>
                <c:pt idx="187">
                  <c:v>45839</c:v>
                </c:pt>
                <c:pt idx="188">
                  <c:v>45870</c:v>
                </c:pt>
                <c:pt idx="189">
                  <c:v>45901</c:v>
                </c:pt>
                <c:pt idx="190">
                  <c:v>45931</c:v>
                </c:pt>
                <c:pt idx="191">
                  <c:v>45962</c:v>
                </c:pt>
                <c:pt idx="192">
                  <c:v>45992</c:v>
                </c:pt>
                <c:pt idx="193">
                  <c:v>46023</c:v>
                </c:pt>
                <c:pt idx="194">
                  <c:v>46054</c:v>
                </c:pt>
                <c:pt idx="195">
                  <c:v>46082</c:v>
                </c:pt>
                <c:pt idx="196">
                  <c:v>46113</c:v>
                </c:pt>
                <c:pt idx="197">
                  <c:v>46143</c:v>
                </c:pt>
                <c:pt idx="198">
                  <c:v>46174</c:v>
                </c:pt>
                <c:pt idx="199">
                  <c:v>46204</c:v>
                </c:pt>
                <c:pt idx="200">
                  <c:v>46235</c:v>
                </c:pt>
                <c:pt idx="201">
                  <c:v>46266</c:v>
                </c:pt>
              </c:numCache>
            </c:numRef>
          </c:cat>
          <c:val>
            <c:numRef>
              <c:f>Mes!$E$2:$E$203</c:f>
              <c:numCache>
                <c:formatCode>#,##0.00</c:formatCode>
                <c:ptCount val="202"/>
                <c:pt idx="0">
                  <c:v>-8.885758984484692</c:v>
                </c:pt>
                <c:pt idx="1">
                  <c:v>-18.099999999999998</c:v>
                </c:pt>
                <c:pt idx="2">
                  <c:v>-24.4</c:v>
                </c:pt>
                <c:pt idx="3">
                  <c:v>-24.7</c:v>
                </c:pt>
                <c:pt idx="4">
                  <c:v>-13.970000000000002</c:v>
                </c:pt>
                <c:pt idx="5">
                  <c:v>-7.9</c:v>
                </c:pt>
                <c:pt idx="6">
                  <c:v>-11.22</c:v>
                </c:pt>
                <c:pt idx="7">
                  <c:v>-9.82</c:v>
                </c:pt>
                <c:pt idx="8">
                  <c:v>-10.38</c:v>
                </c:pt>
                <c:pt idx="9">
                  <c:v>-6.35</c:v>
                </c:pt>
                <c:pt idx="10">
                  <c:v>-8.1332129601765395</c:v>
                </c:pt>
                <c:pt idx="11">
                  <c:v>-4.0305987073648186</c:v>
                </c:pt>
                <c:pt idx="12">
                  <c:v>-6.3715922376640588</c:v>
                </c:pt>
                <c:pt idx="13">
                  <c:v>-6.27</c:v>
                </c:pt>
                <c:pt idx="14">
                  <c:v>-1.9</c:v>
                </c:pt>
                <c:pt idx="15">
                  <c:v>-2.5499999999999998</c:v>
                </c:pt>
                <c:pt idx="16">
                  <c:v>-10.23</c:v>
                </c:pt>
                <c:pt idx="17">
                  <c:v>-7.82</c:v>
                </c:pt>
                <c:pt idx="18">
                  <c:v>-7.1099999999999994</c:v>
                </c:pt>
                <c:pt idx="19">
                  <c:v>-3.53</c:v>
                </c:pt>
                <c:pt idx="20">
                  <c:v>-2.2000000000000002</c:v>
                </c:pt>
                <c:pt idx="21">
                  <c:v>6.4</c:v>
                </c:pt>
                <c:pt idx="22">
                  <c:v>1.72</c:v>
                </c:pt>
                <c:pt idx="23">
                  <c:v>2.62</c:v>
                </c:pt>
                <c:pt idx="24">
                  <c:v>1.500538145644148</c:v>
                </c:pt>
                <c:pt idx="25">
                  <c:v>-2.31</c:v>
                </c:pt>
                <c:pt idx="26">
                  <c:v>-6.74</c:v>
                </c:pt>
                <c:pt idx="27">
                  <c:v>-4.6500000000000004</c:v>
                </c:pt>
                <c:pt idx="28">
                  <c:v>-0.4</c:v>
                </c:pt>
                <c:pt idx="29">
                  <c:v>0.57999999999999996</c:v>
                </c:pt>
                <c:pt idx="30">
                  <c:v>0.25</c:v>
                </c:pt>
                <c:pt idx="31">
                  <c:v>0.63</c:v>
                </c:pt>
                <c:pt idx="32">
                  <c:v>2.63</c:v>
                </c:pt>
                <c:pt idx="33">
                  <c:v>-5.98</c:v>
                </c:pt>
                <c:pt idx="34">
                  <c:v>-1.78</c:v>
                </c:pt>
                <c:pt idx="35">
                  <c:v>-7.59</c:v>
                </c:pt>
                <c:pt idx="36">
                  <c:v>-8.98</c:v>
                </c:pt>
                <c:pt idx="37">
                  <c:v>-2.31</c:v>
                </c:pt>
                <c:pt idx="38">
                  <c:v>2.75</c:v>
                </c:pt>
                <c:pt idx="39">
                  <c:v>2.2400000000000002</c:v>
                </c:pt>
                <c:pt idx="40">
                  <c:v>3.84</c:v>
                </c:pt>
                <c:pt idx="41">
                  <c:v>3.4799999999999995</c:v>
                </c:pt>
                <c:pt idx="42">
                  <c:v>8.09</c:v>
                </c:pt>
                <c:pt idx="43">
                  <c:v>5.66</c:v>
                </c:pt>
                <c:pt idx="44">
                  <c:v>5.7299999999999995</c:v>
                </c:pt>
                <c:pt idx="45">
                  <c:v>6.34</c:v>
                </c:pt>
                <c:pt idx="46">
                  <c:v>2.96</c:v>
                </c:pt>
                <c:pt idx="47">
                  <c:v>6.2700000000000005</c:v>
                </c:pt>
                <c:pt idx="48">
                  <c:v>8.9700000000000006</c:v>
                </c:pt>
                <c:pt idx="49">
                  <c:v>13.25</c:v>
                </c:pt>
                <c:pt idx="50">
                  <c:v>13.13</c:v>
                </c:pt>
                <c:pt idx="51">
                  <c:v>7.2700000000000005</c:v>
                </c:pt>
                <c:pt idx="52">
                  <c:v>5.82</c:v>
                </c:pt>
                <c:pt idx="53">
                  <c:v>0.48</c:v>
                </c:pt>
                <c:pt idx="54">
                  <c:v>-2.48</c:v>
                </c:pt>
                <c:pt idx="55">
                  <c:v>-0.95</c:v>
                </c:pt>
                <c:pt idx="56">
                  <c:v>-0.86999999999999988</c:v>
                </c:pt>
                <c:pt idx="57">
                  <c:v>5.95</c:v>
                </c:pt>
                <c:pt idx="58">
                  <c:v>8.8351751005806722</c:v>
                </c:pt>
                <c:pt idx="59">
                  <c:v>14.199122098681084</c:v>
                </c:pt>
                <c:pt idx="60">
                  <c:v>24.1655984181272</c:v>
                </c:pt>
                <c:pt idx="61">
                  <c:v>21.55</c:v>
                </c:pt>
                <c:pt idx="62">
                  <c:v>21.51</c:v>
                </c:pt>
                <c:pt idx="63">
                  <c:v>31.08</c:v>
                </c:pt>
                <c:pt idx="64">
                  <c:v>23.41</c:v>
                </c:pt>
                <c:pt idx="65">
                  <c:v>33.31</c:v>
                </c:pt>
                <c:pt idx="66">
                  <c:v>37.419999999999995</c:v>
                </c:pt>
                <c:pt idx="67">
                  <c:v>53.069999999999993</c:v>
                </c:pt>
                <c:pt idx="68">
                  <c:v>61.63000000000001</c:v>
                </c:pt>
                <c:pt idx="69">
                  <c:v>53.909999999999989</c:v>
                </c:pt>
                <c:pt idx="70">
                  <c:v>41.32</c:v>
                </c:pt>
                <c:pt idx="71">
                  <c:v>40.56</c:v>
                </c:pt>
                <c:pt idx="72">
                  <c:v>31.64</c:v>
                </c:pt>
                <c:pt idx="73">
                  <c:v>34.67</c:v>
                </c:pt>
                <c:pt idx="74">
                  <c:v>32.4</c:v>
                </c:pt>
                <c:pt idx="75">
                  <c:v>17.32</c:v>
                </c:pt>
                <c:pt idx="76">
                  <c:v>19.39</c:v>
                </c:pt>
                <c:pt idx="77">
                  <c:v>21.13</c:v>
                </c:pt>
                <c:pt idx="78">
                  <c:v>12.809999999999999</c:v>
                </c:pt>
                <c:pt idx="79">
                  <c:v>7.53</c:v>
                </c:pt>
                <c:pt idx="80">
                  <c:v>-5.39</c:v>
                </c:pt>
                <c:pt idx="81">
                  <c:v>-7.75</c:v>
                </c:pt>
                <c:pt idx="82">
                  <c:v>2.4097341804039552</c:v>
                </c:pt>
                <c:pt idx="83">
                  <c:v>2.0634613524233458</c:v>
                </c:pt>
                <c:pt idx="84">
                  <c:v>-4.7233344022962527</c:v>
                </c:pt>
                <c:pt idx="85">
                  <c:v>-10.67</c:v>
                </c:pt>
                <c:pt idx="86">
                  <c:v>-12.39</c:v>
                </c:pt>
                <c:pt idx="87">
                  <c:v>-4.7</c:v>
                </c:pt>
                <c:pt idx="88">
                  <c:v>3.39</c:v>
                </c:pt>
                <c:pt idx="89">
                  <c:v>-4.8500000000000005</c:v>
                </c:pt>
                <c:pt idx="90">
                  <c:v>4.1900000000000004</c:v>
                </c:pt>
                <c:pt idx="91">
                  <c:v>-2.81</c:v>
                </c:pt>
                <c:pt idx="92">
                  <c:v>0.11</c:v>
                </c:pt>
                <c:pt idx="93">
                  <c:v>1.97</c:v>
                </c:pt>
                <c:pt idx="94">
                  <c:v>1.4752363815262015</c:v>
                </c:pt>
                <c:pt idx="95">
                  <c:v>-5.0235538325924427</c:v>
                </c:pt>
                <c:pt idx="96">
                  <c:v>-0.55686820785747493</c:v>
                </c:pt>
                <c:pt idx="97">
                  <c:v>-3.15</c:v>
                </c:pt>
                <c:pt idx="98">
                  <c:v>-1.39</c:v>
                </c:pt>
                <c:pt idx="99">
                  <c:v>-3.46</c:v>
                </c:pt>
                <c:pt idx="100">
                  <c:v>-4.8024831656970202</c:v>
                </c:pt>
                <c:pt idx="101">
                  <c:v>-1.4073318221351701</c:v>
                </c:pt>
                <c:pt idx="102">
                  <c:v>-3.5368928268153499</c:v>
                </c:pt>
                <c:pt idx="103">
                  <c:v>-3.9899999999999998</c:v>
                </c:pt>
                <c:pt idx="104">
                  <c:v>3.0700000000000003</c:v>
                </c:pt>
                <c:pt idx="105">
                  <c:v>1.21</c:v>
                </c:pt>
                <c:pt idx="106">
                  <c:v>6.3424806736976258</c:v>
                </c:pt>
                <c:pt idx="107">
                  <c:v>7.7818694716392356</c:v>
                </c:pt>
                <c:pt idx="108">
                  <c:v>8.9058310991957157</c:v>
                </c:pt>
                <c:pt idx="109">
                  <c:v>11.23</c:v>
                </c:pt>
                <c:pt idx="110">
                  <c:v>7.57</c:v>
                </c:pt>
                <c:pt idx="111">
                  <c:v>14.180000000000001</c:v>
                </c:pt>
                <c:pt idx="112">
                  <c:v>15.73</c:v>
                </c:pt>
                <c:pt idx="113">
                  <c:v>16.619999999999997</c:v>
                </c:pt>
                <c:pt idx="114">
                  <c:v>9.379999999999999</c:v>
                </c:pt>
                <c:pt idx="115">
                  <c:v>14.64</c:v>
                </c:pt>
                <c:pt idx="116">
                  <c:v>13.209999999999999</c:v>
                </c:pt>
                <c:pt idx="117">
                  <c:v>16.48</c:v>
                </c:pt>
                <c:pt idx="118">
                  <c:v>5.85</c:v>
                </c:pt>
                <c:pt idx="119">
                  <c:v>8.7200000000000006</c:v>
                </c:pt>
                <c:pt idx="120">
                  <c:v>0.8428340641587706</c:v>
                </c:pt>
                <c:pt idx="121">
                  <c:v>7.84</c:v>
                </c:pt>
                <c:pt idx="122">
                  <c:v>15.229999999999999</c:v>
                </c:pt>
                <c:pt idx="123">
                  <c:v>28.03</c:v>
                </c:pt>
                <c:pt idx="124">
                  <c:v>22.650000000000002</c:v>
                </c:pt>
                <c:pt idx="125">
                  <c:v>10.75</c:v>
                </c:pt>
                <c:pt idx="126">
                  <c:v>17.260000000000002</c:v>
                </c:pt>
                <c:pt idx="127">
                  <c:v>13.43</c:v>
                </c:pt>
                <c:pt idx="128">
                  <c:v>9.7200000000000006</c:v>
                </c:pt>
                <c:pt idx="129">
                  <c:v>12.04</c:v>
                </c:pt>
                <c:pt idx="130">
                  <c:v>13.819999999999999</c:v>
                </c:pt>
                <c:pt idx="131">
                  <c:v>2.5299999999999998</c:v>
                </c:pt>
                <c:pt idx="132">
                  <c:v>4.74</c:v>
                </c:pt>
                <c:pt idx="133">
                  <c:v>4.34</c:v>
                </c:pt>
                <c:pt idx="134">
                  <c:v>2.39</c:v>
                </c:pt>
                <c:pt idx="135">
                  <c:v>-8.07</c:v>
                </c:pt>
                <c:pt idx="136">
                  <c:v>-6.79</c:v>
                </c:pt>
                <c:pt idx="137">
                  <c:v>-0.1</c:v>
                </c:pt>
                <c:pt idx="138">
                  <c:v>-0.06</c:v>
                </c:pt>
                <c:pt idx="139">
                  <c:v>3.43</c:v>
                </c:pt>
                <c:pt idx="140">
                  <c:v>1.24</c:v>
                </c:pt>
                <c:pt idx="141">
                  <c:v>-1.1399999999999999</c:v>
                </c:pt>
                <c:pt idx="142">
                  <c:v>-1.92</c:v>
                </c:pt>
                <c:pt idx="143">
                  <c:v>11.06</c:v>
                </c:pt>
                <c:pt idx="144">
                  <c:v>15.98</c:v>
                </c:pt>
                <c:pt idx="145">
                  <c:v>11.887758255465709</c:v>
                </c:pt>
                <c:pt idx="146">
                  <c:v>7.8978807468291112</c:v>
                </c:pt>
                <c:pt idx="147">
                  <c:v>0.30078326745894834</c:v>
                </c:pt>
                <c:pt idx="148">
                  <c:v>6.8243336053586345</c:v>
                </c:pt>
                <c:pt idx="149">
                  <c:v>5.3040416873021634</c:v>
                </c:pt>
                <c:pt idx="150">
                  <c:v>9.8704437706798931</c:v>
                </c:pt>
                <c:pt idx="151">
                  <c:v>11.179767728057755</c:v>
                </c:pt>
                <c:pt idx="152">
                  <c:v>15.584719205016185</c:v>
                </c:pt>
                <c:pt idx="153">
                  <c:v>18.186393649535294</c:v>
                </c:pt>
                <c:pt idx="154">
                  <c:v>27.340372683937385</c:v>
                </c:pt>
                <c:pt idx="155">
                  <c:v>19.908600890555441</c:v>
                </c:pt>
                <c:pt idx="156">
                  <c:v>20.824081423504715</c:v>
                </c:pt>
                <c:pt idx="157">
                  <c:v>16.310952644001397</c:v>
                </c:pt>
                <c:pt idx="158">
                  <c:v>22.950207638647392</c:v>
                </c:pt>
                <c:pt idx="159">
                  <c:v>23.454771020370057</c:v>
                </c:pt>
                <c:pt idx="160">
                  <c:v>17.717654118353021</c:v>
                </c:pt>
                <c:pt idx="161">
                  <c:v>12.685758395231495</c:v>
                </c:pt>
                <c:pt idx="162">
                  <c:v>1.545983374803428</c:v>
                </c:pt>
                <c:pt idx="163">
                  <c:v>-8.762411924749447</c:v>
                </c:pt>
                <c:pt idx="164">
                  <c:v>-7.1549670921057356</c:v>
                </c:pt>
                <c:pt idx="165">
                  <c:v>-10.553897005121271</c:v>
                </c:pt>
                <c:pt idx="166">
                  <c:v>-15.735030461993061</c:v>
                </c:pt>
                <c:pt idx="167">
                  <c:v>-17.233356412607527</c:v>
                </c:pt>
                <c:pt idx="168">
                  <c:v>-20.542804872978248</c:v>
                </c:pt>
                <c:pt idx="169">
                  <c:v>-15.25409092871638</c:v>
                </c:pt>
                <c:pt idx="170">
                  <c:v>-18.18957018722417</c:v>
                </c:pt>
                <c:pt idx="171">
                  <c:v>-16.96399821060799</c:v>
                </c:pt>
                <c:pt idx="172">
                  <c:v>-17.039194688370095</c:v>
                </c:pt>
                <c:pt idx="173">
                  <c:v>-12.12003674594262</c:v>
                </c:pt>
                <c:pt idx="174">
                  <c:v>-1.0316657441163501</c:v>
                </c:pt>
                <c:pt idx="175">
                  <c:v>4.2197125518352419</c:v>
                </c:pt>
                <c:pt idx="176">
                  <c:v>1.8353474505119705</c:v>
                </c:pt>
                <c:pt idx="177">
                  <c:v>2.7246309598989438</c:v>
                </c:pt>
                <c:pt idx="178">
                  <c:v>8.6836927426166675</c:v>
                </c:pt>
                <c:pt idx="179">
                  <c:v>11.026284519942632</c:v>
                </c:pt>
                <c:pt idx="180">
                  <c:v>15.36</c:v>
                </c:pt>
                <c:pt idx="181">
                  <c:v>6.2260546158549035</c:v>
                </c:pt>
                <c:pt idx="182">
                  <c:v>4.7425233122158961</c:v>
                </c:pt>
                <c:pt idx="183">
                  <c:v>9.1161543866954631</c:v>
                </c:pt>
                <c:pt idx="184">
                  <c:v>8.4005431864182754</c:v>
                </c:pt>
                <c:pt idx="185">
                  <c:v>7.0825331929216029</c:v>
                </c:pt>
                <c:pt idx="186">
                  <c:v>-1.889326043143269</c:v>
                </c:pt>
                <c:pt idx="187">
                  <c:v>2.2166517895354509</c:v>
                </c:pt>
                <c:pt idx="188">
                  <c:v>-3.4108035218529564</c:v>
                </c:pt>
                <c:pt idx="189">
                  <c:v>-6.3138026180235896</c:v>
                </c:pt>
                <c:pt idx="190">
                  <c:v>-12.304178580977288</c:v>
                </c:pt>
                <c:pt idx="191">
                  <c:v>-15.276530175876047</c:v>
                </c:pt>
                <c:pt idx="192">
                  <c:v>-14.789018291507428</c:v>
                </c:pt>
                <c:pt idx="193">
                  <c:v>-11.97934777134828</c:v>
                </c:pt>
                <c:pt idx="194">
                  <c:v>-8.5873920841919134</c:v>
                </c:pt>
                <c:pt idx="195">
                  <c:v>-12.465146676143746</c:v>
                </c:pt>
                <c:pt idx="196">
                  <c:v>-13.741208860563535</c:v>
                </c:pt>
                <c:pt idx="197">
                  <c:v>-11.342534564877848</c:v>
                </c:pt>
                <c:pt idx="198">
                  <c:v>-15.384048338071633</c:v>
                </c:pt>
                <c:pt idx="199">
                  <c:v>-25.056164452387609</c:v>
                </c:pt>
                <c:pt idx="200">
                  <c:v>-20.297082676979205</c:v>
                </c:pt>
                <c:pt idx="201">
                  <c:v>-14.355764375373269</c:v>
                </c:pt>
              </c:numCache>
            </c:numRef>
          </c:val>
          <c:smooth val="0"/>
          <c:extLst>
            <c:ext xmlns:c16="http://schemas.microsoft.com/office/drawing/2014/chart" uri="{C3380CC4-5D6E-409C-BE32-E72D297353CC}">
              <c16:uniqueId val="{00000000-BBF2-442A-971A-A30001B14F25}"/>
            </c:ext>
          </c:extLst>
        </c:ser>
        <c:dLbls>
          <c:showLegendKey val="0"/>
          <c:showVal val="0"/>
          <c:showCatName val="0"/>
          <c:showSerName val="0"/>
          <c:showPercent val="0"/>
          <c:showBubbleSize val="0"/>
        </c:dLbls>
        <c:smooth val="0"/>
        <c:axId val="859969920"/>
        <c:axId val="1"/>
      </c:lineChart>
      <c:dateAx>
        <c:axId val="859969920"/>
        <c:scaling>
          <c:orientation val="minMax"/>
        </c:scaling>
        <c:delete val="0"/>
        <c:axPos val="b"/>
        <c:numFmt formatCode="mmm\-yy" sourceLinked="0"/>
        <c:majorTickMark val="none"/>
        <c:minorTickMark val="none"/>
        <c:tickLblPos val="low"/>
        <c:spPr>
          <a:noFill/>
          <a:ln w="9525" cap="flat" cmpd="sng" algn="ctr">
            <a:solidFill>
              <a:schemeClr val="tx1">
                <a:lumMod val="15000"/>
                <a:lumOff val="85000"/>
              </a:schemeClr>
            </a:solidFill>
            <a:round/>
          </a:ln>
          <a:effectLst/>
        </c:spPr>
        <c:txPr>
          <a:bodyPr rot="-2700000" vert="horz"/>
          <a:lstStyle/>
          <a:p>
            <a:pPr>
              <a:defRPr sz="900" b="0" i="0" u="none"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s-CO"/>
          </a:p>
        </c:txPr>
        <c:crossAx val="859969920"/>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i="0" u="none" strike="noStrike" baseline="0">
                <a:solidFill>
                  <a:srgbClr val="333333"/>
                </a:solidFill>
                <a:latin typeface="Calibri"/>
                <a:ea typeface="Calibri"/>
                <a:cs typeface="Calibri"/>
              </a:defRPr>
            </a:pPr>
            <a:r>
              <a:rPr lang="es-ES"/>
              <a:t>Crecimiento anual de la economía</a:t>
            </a:r>
          </a:p>
        </c:rich>
      </c:tx>
      <c:overlay val="0"/>
      <c:spPr>
        <a:noFill/>
        <a:ln w="25400">
          <a:noFill/>
        </a:ln>
      </c:spPr>
    </c:title>
    <c:autoTitleDeleted val="0"/>
    <c:plotArea>
      <c:layout>
        <c:manualLayout>
          <c:layoutTarget val="inner"/>
          <c:xMode val="edge"/>
          <c:yMode val="edge"/>
          <c:x val="0.11664509848028706"/>
          <c:y val="0.14280181345698259"/>
          <c:w val="0.84706735871885497"/>
          <c:h val="0.66249237081013013"/>
        </c:manualLayout>
      </c:layout>
      <c:lineChart>
        <c:grouping val="standard"/>
        <c:varyColors val="0"/>
        <c:ser>
          <c:idx val="0"/>
          <c:order val="0"/>
          <c:tx>
            <c:strRef>
              <c:f>Trim!$B$1</c:f>
              <c:strCache>
                <c:ptCount val="1"/>
                <c:pt idx="0">
                  <c:v>Crecimiento_Economia</c:v>
                </c:pt>
              </c:strCache>
            </c:strRef>
          </c:tx>
          <c:marker>
            <c:symbol val="none"/>
          </c:marker>
          <c:cat>
            <c:numRef>
              <c:f>Trim!$A$2:$A$68</c:f>
              <c:numCache>
                <c:formatCode>mmm\-yy</c:formatCode>
                <c:ptCount val="67"/>
                <c:pt idx="0">
                  <c:v>40148</c:v>
                </c:pt>
                <c:pt idx="1">
                  <c:v>40238</c:v>
                </c:pt>
                <c:pt idx="2">
                  <c:v>40330</c:v>
                </c:pt>
                <c:pt idx="3">
                  <c:v>40422</c:v>
                </c:pt>
                <c:pt idx="4">
                  <c:v>40513</c:v>
                </c:pt>
                <c:pt idx="5">
                  <c:v>40603</c:v>
                </c:pt>
                <c:pt idx="6">
                  <c:v>40695</c:v>
                </c:pt>
                <c:pt idx="7">
                  <c:v>40787</c:v>
                </c:pt>
                <c:pt idx="8">
                  <c:v>40878</c:v>
                </c:pt>
                <c:pt idx="9">
                  <c:v>40969</c:v>
                </c:pt>
                <c:pt idx="10">
                  <c:v>41061</c:v>
                </c:pt>
                <c:pt idx="11">
                  <c:v>41153</c:v>
                </c:pt>
                <c:pt idx="12">
                  <c:v>41244</c:v>
                </c:pt>
                <c:pt idx="13">
                  <c:v>41334</c:v>
                </c:pt>
                <c:pt idx="14">
                  <c:v>41426</c:v>
                </c:pt>
                <c:pt idx="15">
                  <c:v>41518</c:v>
                </c:pt>
                <c:pt idx="16">
                  <c:v>41609</c:v>
                </c:pt>
                <c:pt idx="17">
                  <c:v>41699</c:v>
                </c:pt>
                <c:pt idx="18">
                  <c:v>41791</c:v>
                </c:pt>
                <c:pt idx="19">
                  <c:v>41883</c:v>
                </c:pt>
                <c:pt idx="20">
                  <c:v>41974</c:v>
                </c:pt>
                <c:pt idx="21">
                  <c:v>42064</c:v>
                </c:pt>
                <c:pt idx="22">
                  <c:v>42156</c:v>
                </c:pt>
                <c:pt idx="23">
                  <c:v>42248</c:v>
                </c:pt>
                <c:pt idx="24">
                  <c:v>42339</c:v>
                </c:pt>
                <c:pt idx="25">
                  <c:v>42430</c:v>
                </c:pt>
                <c:pt idx="26">
                  <c:v>42522</c:v>
                </c:pt>
                <c:pt idx="27">
                  <c:v>42614</c:v>
                </c:pt>
                <c:pt idx="28">
                  <c:v>42705</c:v>
                </c:pt>
                <c:pt idx="29">
                  <c:v>42795</c:v>
                </c:pt>
                <c:pt idx="30">
                  <c:v>42887</c:v>
                </c:pt>
                <c:pt idx="31">
                  <c:v>42979</c:v>
                </c:pt>
                <c:pt idx="32">
                  <c:v>43070</c:v>
                </c:pt>
                <c:pt idx="33">
                  <c:v>43160</c:v>
                </c:pt>
                <c:pt idx="34">
                  <c:v>43252</c:v>
                </c:pt>
                <c:pt idx="35">
                  <c:v>43344</c:v>
                </c:pt>
                <c:pt idx="36">
                  <c:v>43435</c:v>
                </c:pt>
                <c:pt idx="37">
                  <c:v>43525</c:v>
                </c:pt>
                <c:pt idx="38">
                  <c:v>43617</c:v>
                </c:pt>
                <c:pt idx="39">
                  <c:v>43709</c:v>
                </c:pt>
                <c:pt idx="40">
                  <c:v>43800</c:v>
                </c:pt>
                <c:pt idx="41">
                  <c:v>43891</c:v>
                </c:pt>
                <c:pt idx="42">
                  <c:v>43983</c:v>
                </c:pt>
                <c:pt idx="43">
                  <c:v>44075</c:v>
                </c:pt>
                <c:pt idx="44">
                  <c:v>44166</c:v>
                </c:pt>
                <c:pt idx="45">
                  <c:v>44256</c:v>
                </c:pt>
                <c:pt idx="46">
                  <c:v>44348</c:v>
                </c:pt>
                <c:pt idx="47">
                  <c:v>44440</c:v>
                </c:pt>
                <c:pt idx="48">
                  <c:v>44531</c:v>
                </c:pt>
                <c:pt idx="49">
                  <c:v>44621</c:v>
                </c:pt>
                <c:pt idx="50">
                  <c:v>44713</c:v>
                </c:pt>
                <c:pt idx="51">
                  <c:v>44805</c:v>
                </c:pt>
                <c:pt idx="52" formatCode="General">
                  <c:v>44896</c:v>
                </c:pt>
                <c:pt idx="53" formatCode="General">
                  <c:v>44986</c:v>
                </c:pt>
                <c:pt idx="54" formatCode="General">
                  <c:v>45078</c:v>
                </c:pt>
                <c:pt idx="55" formatCode="General">
                  <c:v>45170</c:v>
                </c:pt>
                <c:pt idx="56" formatCode="General">
                  <c:v>45261</c:v>
                </c:pt>
                <c:pt idx="57" formatCode="General">
                  <c:v>45352</c:v>
                </c:pt>
                <c:pt idx="58" formatCode="General">
                  <c:v>45444</c:v>
                </c:pt>
                <c:pt idx="59" formatCode="General">
                  <c:v>45536</c:v>
                </c:pt>
                <c:pt idx="60" formatCode="General">
                  <c:v>45627</c:v>
                </c:pt>
                <c:pt idx="61" formatCode="General">
                  <c:v>45717</c:v>
                </c:pt>
                <c:pt idx="62" formatCode="General">
                  <c:v>45809</c:v>
                </c:pt>
                <c:pt idx="63" formatCode="General">
                  <c:v>45901</c:v>
                </c:pt>
                <c:pt idx="64" formatCode="General">
                  <c:v>45992</c:v>
                </c:pt>
                <c:pt idx="65" formatCode="General">
                  <c:v>46082</c:v>
                </c:pt>
                <c:pt idx="66" formatCode="General">
                  <c:v>46174</c:v>
                </c:pt>
              </c:numCache>
            </c:numRef>
          </c:cat>
          <c:val>
            <c:numRef>
              <c:f>Trim!$B$2:$B$68</c:f>
              <c:numCache>
                <c:formatCode>#,##0.00</c:formatCode>
                <c:ptCount val="67"/>
                <c:pt idx="0">
                  <c:v>3.1798941803498875</c:v>
                </c:pt>
                <c:pt idx="1">
                  <c:v>4.1095506329670242</c:v>
                </c:pt>
                <c:pt idx="2">
                  <c:v>4.2312373958444107</c:v>
                </c:pt>
                <c:pt idx="3">
                  <c:v>4.1648683599877803</c:v>
                </c:pt>
                <c:pt idx="4">
                  <c:v>5.4527130657230822</c:v>
                </c:pt>
                <c:pt idx="5">
                  <c:v>6.483238446003563</c:v>
                </c:pt>
                <c:pt idx="6">
                  <c:v>6.9355959438457235</c:v>
                </c:pt>
                <c:pt idx="7">
                  <c:v>8.0138641961539179</c:v>
                </c:pt>
                <c:pt idx="8">
                  <c:v>6.3616253902690181</c:v>
                </c:pt>
                <c:pt idx="9">
                  <c:v>6.1618951115065297</c:v>
                </c:pt>
                <c:pt idx="10">
                  <c:v>4.6947093568785263</c:v>
                </c:pt>
                <c:pt idx="11">
                  <c:v>2.1601877253306747</c:v>
                </c:pt>
                <c:pt idx="12">
                  <c:v>2.737132588943048</c:v>
                </c:pt>
                <c:pt idx="13">
                  <c:v>2.583721256284341</c:v>
                </c:pt>
                <c:pt idx="14">
                  <c:v>5.1972393801482086</c:v>
                </c:pt>
                <c:pt idx="15">
                  <c:v>6.2859634508422859</c:v>
                </c:pt>
                <c:pt idx="16">
                  <c:v>6.4575674358233224</c:v>
                </c:pt>
                <c:pt idx="17">
                  <c:v>6.2878457385323356</c:v>
                </c:pt>
                <c:pt idx="18">
                  <c:v>3.8458965661279079</c:v>
                </c:pt>
                <c:pt idx="19">
                  <c:v>4.1917996743598041</c:v>
                </c:pt>
                <c:pt idx="20">
                  <c:v>3.7365591026118401</c:v>
                </c:pt>
                <c:pt idx="21">
                  <c:v>3.108746262725842</c:v>
                </c:pt>
                <c:pt idx="22">
                  <c:v>3.2752543989544582</c:v>
                </c:pt>
                <c:pt idx="23">
                  <c:v>3.4028809002951044</c:v>
                </c:pt>
                <c:pt idx="24">
                  <c:v>2.0501551424841598</c:v>
                </c:pt>
                <c:pt idx="25">
                  <c:v>2.7221379348244401</c:v>
                </c:pt>
                <c:pt idx="26">
                  <c:v>1.9578447784509074</c:v>
                </c:pt>
                <c:pt idx="27">
                  <c:v>1.3731974081435443</c:v>
                </c:pt>
                <c:pt idx="28">
                  <c:v>2.3061919043535881</c:v>
                </c:pt>
                <c:pt idx="29">
                  <c:v>0.85860790120022268</c:v>
                </c:pt>
                <c:pt idx="30">
                  <c:v>1.6294581038596656</c:v>
                </c:pt>
                <c:pt idx="31">
                  <c:v>1.5630656933697356</c:v>
                </c:pt>
                <c:pt idx="32">
                  <c:v>1.3857116136597794</c:v>
                </c:pt>
                <c:pt idx="33">
                  <c:v>2.1862786885274126</c:v>
                </c:pt>
                <c:pt idx="34">
                  <c:v>2.3347857161727976</c:v>
                </c:pt>
                <c:pt idx="35">
                  <c:v>2.8349671671548902</c:v>
                </c:pt>
                <c:pt idx="36">
                  <c:v>2.8954213912886027</c:v>
                </c:pt>
                <c:pt idx="37">
                  <c:v>3.1838652386427393</c:v>
                </c:pt>
                <c:pt idx="38">
                  <c:v>3.3924864787004889</c:v>
                </c:pt>
                <c:pt idx="39">
                  <c:v>3.0946033830063264</c:v>
                </c:pt>
                <c:pt idx="40">
                  <c:v>3.078602875485406</c:v>
                </c:pt>
                <c:pt idx="41">
                  <c:v>0.31947815843471655</c:v>
                </c:pt>
                <c:pt idx="42">
                  <c:v>-16.740150572624632</c:v>
                </c:pt>
                <c:pt idx="43">
                  <c:v>-9.0189546192286905</c:v>
                </c:pt>
                <c:pt idx="44">
                  <c:v>-3.2567754541874967</c:v>
                </c:pt>
                <c:pt idx="45">
                  <c:v>1.7776415497452007</c:v>
                </c:pt>
                <c:pt idx="46">
                  <c:v>18.269267322537821</c:v>
                </c:pt>
                <c:pt idx="47">
                  <c:v>13.522200522313035</c:v>
                </c:pt>
                <c:pt idx="48">
                  <c:v>11.061702362366745</c:v>
                </c:pt>
                <c:pt idx="49">
                  <c:v>7.6790433645437552</c:v>
                </c:pt>
                <c:pt idx="50">
                  <c:v>12.549059818293948</c:v>
                </c:pt>
                <c:pt idx="51">
                  <c:v>7.3699155471282625</c:v>
                </c:pt>
                <c:pt idx="52" formatCode="General">
                  <c:v>2.2228250788833224</c:v>
                </c:pt>
                <c:pt idx="53" formatCode="General">
                  <c:v>2.674944025625539</c:v>
                </c:pt>
                <c:pt idx="54" formatCode="General">
                  <c:v>0.43905595868866759</c:v>
                </c:pt>
                <c:pt idx="55" formatCode="General">
                  <c:v>-0.38501206832535828</c:v>
                </c:pt>
                <c:pt idx="56" formatCode="General">
                  <c:v>0.67878523466029617</c:v>
                </c:pt>
                <c:pt idx="57" formatCode="General">
                  <c:v>0.55915009126959747</c:v>
                </c:pt>
                <c:pt idx="58" formatCode="General">
                  <c:v>1.2059714801297097</c:v>
                </c:pt>
                <c:pt idx="59" formatCode="General">
                  <c:v>1.6354453943640115</c:v>
                </c:pt>
                <c:pt idx="60" formatCode="General">
                  <c:v>2.5733746647533331</c:v>
                </c:pt>
                <c:pt idx="61" formatCode="General">
                  <c:v>2.1968992188072485</c:v>
                </c:pt>
                <c:pt idx="62" formatCode="General">
                  <c:v>2.28250327285433</c:v>
                </c:pt>
                <c:pt idx="63" formatCode="General">
                  <c:v>3.7804902823799349</c:v>
                </c:pt>
                <c:pt idx="64" formatCode="General">
                  <c:v>2.0251775663378231</c:v>
                </c:pt>
                <c:pt idx="65" formatCode="General">
                  <c:v>2.3930134147764233</c:v>
                </c:pt>
                <c:pt idx="66" formatCode="General">
                  <c:v>3.366898924540525</c:v>
                </c:pt>
              </c:numCache>
            </c:numRef>
          </c:val>
          <c:smooth val="0"/>
          <c:extLst>
            <c:ext xmlns:c16="http://schemas.microsoft.com/office/drawing/2014/chart" uri="{C3380CC4-5D6E-409C-BE32-E72D297353CC}">
              <c16:uniqueId val="{00000000-EE22-48AC-8CED-41C3B25C10B4}"/>
            </c:ext>
          </c:extLst>
        </c:ser>
        <c:dLbls>
          <c:showLegendKey val="0"/>
          <c:showVal val="0"/>
          <c:showCatName val="0"/>
          <c:showSerName val="0"/>
          <c:showPercent val="0"/>
          <c:showBubbleSize val="0"/>
        </c:dLbls>
        <c:smooth val="0"/>
        <c:axId val="859964928"/>
        <c:axId val="1"/>
      </c:lineChart>
      <c:catAx>
        <c:axId val="859964928"/>
        <c:scaling>
          <c:orientation val="minMax"/>
        </c:scaling>
        <c:delete val="0"/>
        <c:axPos val="b"/>
        <c:numFmt formatCode="mmm\-yy" sourceLinked="0"/>
        <c:majorTickMark val="none"/>
        <c:minorTickMark val="none"/>
        <c:tickLblPos val="low"/>
        <c:spPr>
          <a:noFill/>
          <a:ln w="9525" cap="flat" cmpd="sng" algn="ctr">
            <a:solidFill>
              <a:schemeClr val="tx1">
                <a:lumMod val="15000"/>
                <a:lumOff val="85000"/>
              </a:schemeClr>
            </a:solidFill>
            <a:round/>
          </a:ln>
          <a:effectLst/>
        </c:spPr>
        <c:txPr>
          <a:bodyPr rot="-2700000" vert="horz"/>
          <a:lstStyle/>
          <a:p>
            <a:pPr>
              <a:defRPr sz="9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1"/>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s-CO"/>
          </a:p>
        </c:txPr>
        <c:crossAx val="859964928"/>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i="0" u="none" strike="noStrike" baseline="0">
                <a:solidFill>
                  <a:srgbClr val="333333"/>
                </a:solidFill>
                <a:latin typeface="Calibri"/>
                <a:ea typeface="Calibri"/>
                <a:cs typeface="Calibri"/>
              </a:defRPr>
            </a:pPr>
            <a:r>
              <a:rPr lang="es-ES"/>
              <a:t>Tasa de desempleo</a:t>
            </a:r>
          </a:p>
        </c:rich>
      </c:tx>
      <c:overlay val="0"/>
      <c:spPr>
        <a:noFill/>
        <a:ln w="25400">
          <a:noFill/>
        </a:ln>
      </c:spPr>
    </c:title>
    <c:autoTitleDeleted val="0"/>
    <c:plotArea>
      <c:layout>
        <c:manualLayout>
          <c:layoutTarget val="inner"/>
          <c:xMode val="edge"/>
          <c:yMode val="edge"/>
          <c:x val="0.11664509848028706"/>
          <c:y val="0.14280181345698259"/>
          <c:w val="0.84706735871885497"/>
          <c:h val="0.55364875308953732"/>
        </c:manualLayout>
      </c:layout>
      <c:lineChart>
        <c:grouping val="standard"/>
        <c:varyColors val="0"/>
        <c:ser>
          <c:idx val="0"/>
          <c:order val="0"/>
          <c:tx>
            <c:strRef>
              <c:f>Mes!$F$1</c:f>
              <c:strCache>
                <c:ptCount val="1"/>
                <c:pt idx="0">
                  <c:v>Tasa_desempleo_total_7_ciud</c:v>
                </c:pt>
              </c:strCache>
            </c:strRef>
          </c:tx>
          <c:spPr>
            <a:ln w="12700"/>
          </c:spPr>
          <c:marker>
            <c:symbol val="none"/>
          </c:marker>
          <c:cat>
            <c:numRef>
              <c:f>Mes!$A$2:$A$203</c:f>
              <c:numCache>
                <c:formatCode>mmm\-yy</c:formatCode>
                <c:ptCount val="202"/>
                <c:pt idx="0">
                  <c:v>40148</c:v>
                </c:pt>
                <c:pt idx="1">
                  <c:v>40179</c:v>
                </c:pt>
                <c:pt idx="2">
                  <c:v>40210</c:v>
                </c:pt>
                <c:pt idx="3">
                  <c:v>40238</c:v>
                </c:pt>
                <c:pt idx="4">
                  <c:v>40269</c:v>
                </c:pt>
                <c:pt idx="5">
                  <c:v>40299</c:v>
                </c:pt>
                <c:pt idx="6">
                  <c:v>40330</c:v>
                </c:pt>
                <c:pt idx="7">
                  <c:v>40360</c:v>
                </c:pt>
                <c:pt idx="8">
                  <c:v>40391</c:v>
                </c:pt>
                <c:pt idx="9">
                  <c:v>40422</c:v>
                </c:pt>
                <c:pt idx="10">
                  <c:v>40452</c:v>
                </c:pt>
                <c:pt idx="11">
                  <c:v>40483</c:v>
                </c:pt>
                <c:pt idx="12">
                  <c:v>40513</c:v>
                </c:pt>
                <c:pt idx="13">
                  <c:v>40544</c:v>
                </c:pt>
                <c:pt idx="14">
                  <c:v>40575</c:v>
                </c:pt>
                <c:pt idx="15">
                  <c:v>40603</c:v>
                </c:pt>
                <c:pt idx="16">
                  <c:v>40634</c:v>
                </c:pt>
                <c:pt idx="17">
                  <c:v>40664</c:v>
                </c:pt>
                <c:pt idx="18">
                  <c:v>40695</c:v>
                </c:pt>
                <c:pt idx="19">
                  <c:v>40725</c:v>
                </c:pt>
                <c:pt idx="20">
                  <c:v>40756</c:v>
                </c:pt>
                <c:pt idx="21">
                  <c:v>40787</c:v>
                </c:pt>
                <c:pt idx="22">
                  <c:v>40817</c:v>
                </c:pt>
                <c:pt idx="23">
                  <c:v>40848</c:v>
                </c:pt>
                <c:pt idx="24">
                  <c:v>40878</c:v>
                </c:pt>
                <c:pt idx="25">
                  <c:v>40909</c:v>
                </c:pt>
                <c:pt idx="26">
                  <c:v>40940</c:v>
                </c:pt>
                <c:pt idx="27">
                  <c:v>40969</c:v>
                </c:pt>
                <c:pt idx="28">
                  <c:v>41000</c:v>
                </c:pt>
                <c:pt idx="29">
                  <c:v>41030</c:v>
                </c:pt>
                <c:pt idx="30">
                  <c:v>41061</c:v>
                </c:pt>
                <c:pt idx="31">
                  <c:v>41091</c:v>
                </c:pt>
                <c:pt idx="32">
                  <c:v>41122</c:v>
                </c:pt>
                <c:pt idx="33">
                  <c:v>41153</c:v>
                </c:pt>
                <c:pt idx="34">
                  <c:v>41183</c:v>
                </c:pt>
                <c:pt idx="35">
                  <c:v>41214</c:v>
                </c:pt>
                <c:pt idx="36">
                  <c:v>41244</c:v>
                </c:pt>
                <c:pt idx="37">
                  <c:v>41275</c:v>
                </c:pt>
                <c:pt idx="38">
                  <c:v>41306</c:v>
                </c:pt>
                <c:pt idx="39">
                  <c:v>41334</c:v>
                </c:pt>
                <c:pt idx="40">
                  <c:v>41365</c:v>
                </c:pt>
                <c:pt idx="41">
                  <c:v>41395</c:v>
                </c:pt>
                <c:pt idx="42">
                  <c:v>41426</c:v>
                </c:pt>
                <c:pt idx="43">
                  <c:v>41456</c:v>
                </c:pt>
                <c:pt idx="44">
                  <c:v>41487</c:v>
                </c:pt>
                <c:pt idx="45">
                  <c:v>41518</c:v>
                </c:pt>
                <c:pt idx="46">
                  <c:v>41548</c:v>
                </c:pt>
                <c:pt idx="47">
                  <c:v>41579</c:v>
                </c:pt>
                <c:pt idx="48">
                  <c:v>41609</c:v>
                </c:pt>
                <c:pt idx="49">
                  <c:v>41640</c:v>
                </c:pt>
                <c:pt idx="50">
                  <c:v>41671</c:v>
                </c:pt>
                <c:pt idx="51">
                  <c:v>41699</c:v>
                </c:pt>
                <c:pt idx="52">
                  <c:v>41730</c:v>
                </c:pt>
                <c:pt idx="53">
                  <c:v>41760</c:v>
                </c:pt>
                <c:pt idx="54">
                  <c:v>41791</c:v>
                </c:pt>
                <c:pt idx="55">
                  <c:v>41821</c:v>
                </c:pt>
                <c:pt idx="56">
                  <c:v>41852</c:v>
                </c:pt>
                <c:pt idx="57">
                  <c:v>41883</c:v>
                </c:pt>
                <c:pt idx="58">
                  <c:v>41913</c:v>
                </c:pt>
                <c:pt idx="59">
                  <c:v>41944</c:v>
                </c:pt>
                <c:pt idx="60">
                  <c:v>41974</c:v>
                </c:pt>
                <c:pt idx="61">
                  <c:v>42005</c:v>
                </c:pt>
                <c:pt idx="62">
                  <c:v>42036</c:v>
                </c:pt>
                <c:pt idx="63">
                  <c:v>42064</c:v>
                </c:pt>
                <c:pt idx="64">
                  <c:v>42095</c:v>
                </c:pt>
                <c:pt idx="65">
                  <c:v>42125</c:v>
                </c:pt>
                <c:pt idx="66">
                  <c:v>42156</c:v>
                </c:pt>
                <c:pt idx="67">
                  <c:v>42186</c:v>
                </c:pt>
                <c:pt idx="68">
                  <c:v>42217</c:v>
                </c:pt>
                <c:pt idx="69">
                  <c:v>42248</c:v>
                </c:pt>
                <c:pt idx="70">
                  <c:v>42278</c:v>
                </c:pt>
                <c:pt idx="71">
                  <c:v>42309</c:v>
                </c:pt>
                <c:pt idx="72">
                  <c:v>42339</c:v>
                </c:pt>
                <c:pt idx="73">
                  <c:v>42370</c:v>
                </c:pt>
                <c:pt idx="74">
                  <c:v>42401</c:v>
                </c:pt>
                <c:pt idx="75">
                  <c:v>42430</c:v>
                </c:pt>
                <c:pt idx="76">
                  <c:v>42461</c:v>
                </c:pt>
                <c:pt idx="77">
                  <c:v>42491</c:v>
                </c:pt>
                <c:pt idx="78">
                  <c:v>42522</c:v>
                </c:pt>
                <c:pt idx="79">
                  <c:v>42552</c:v>
                </c:pt>
                <c:pt idx="80">
                  <c:v>42583</c:v>
                </c:pt>
                <c:pt idx="81">
                  <c:v>42614</c:v>
                </c:pt>
                <c:pt idx="82">
                  <c:v>42644</c:v>
                </c:pt>
                <c:pt idx="83">
                  <c:v>42675</c:v>
                </c:pt>
                <c:pt idx="84">
                  <c:v>42705</c:v>
                </c:pt>
                <c:pt idx="85">
                  <c:v>42736</c:v>
                </c:pt>
                <c:pt idx="86">
                  <c:v>42767</c:v>
                </c:pt>
                <c:pt idx="87">
                  <c:v>42795</c:v>
                </c:pt>
                <c:pt idx="88">
                  <c:v>42826</c:v>
                </c:pt>
                <c:pt idx="89">
                  <c:v>42856</c:v>
                </c:pt>
                <c:pt idx="90">
                  <c:v>42887</c:v>
                </c:pt>
                <c:pt idx="91">
                  <c:v>42917</c:v>
                </c:pt>
                <c:pt idx="92">
                  <c:v>42948</c:v>
                </c:pt>
                <c:pt idx="93">
                  <c:v>42979</c:v>
                </c:pt>
                <c:pt idx="94">
                  <c:v>43009</c:v>
                </c:pt>
                <c:pt idx="95">
                  <c:v>43040</c:v>
                </c:pt>
                <c:pt idx="96">
                  <c:v>43070</c:v>
                </c:pt>
                <c:pt idx="97">
                  <c:v>43101</c:v>
                </c:pt>
                <c:pt idx="98">
                  <c:v>43132</c:v>
                </c:pt>
                <c:pt idx="99">
                  <c:v>43160</c:v>
                </c:pt>
                <c:pt idx="100">
                  <c:v>43191</c:v>
                </c:pt>
                <c:pt idx="101">
                  <c:v>43221</c:v>
                </c:pt>
                <c:pt idx="102">
                  <c:v>43252</c:v>
                </c:pt>
                <c:pt idx="103">
                  <c:v>43282</c:v>
                </c:pt>
                <c:pt idx="104">
                  <c:v>43313</c:v>
                </c:pt>
                <c:pt idx="105">
                  <c:v>43344</c:v>
                </c:pt>
                <c:pt idx="106">
                  <c:v>43374</c:v>
                </c:pt>
                <c:pt idx="107">
                  <c:v>43405</c:v>
                </c:pt>
                <c:pt idx="108">
                  <c:v>43435</c:v>
                </c:pt>
                <c:pt idx="109">
                  <c:v>43466</c:v>
                </c:pt>
                <c:pt idx="110">
                  <c:v>43497</c:v>
                </c:pt>
                <c:pt idx="111">
                  <c:v>43525</c:v>
                </c:pt>
                <c:pt idx="112">
                  <c:v>43556</c:v>
                </c:pt>
                <c:pt idx="113">
                  <c:v>43586</c:v>
                </c:pt>
                <c:pt idx="114">
                  <c:v>43617</c:v>
                </c:pt>
                <c:pt idx="115">
                  <c:v>43647</c:v>
                </c:pt>
                <c:pt idx="116">
                  <c:v>43678</c:v>
                </c:pt>
                <c:pt idx="117">
                  <c:v>43709</c:v>
                </c:pt>
                <c:pt idx="118">
                  <c:v>43739</c:v>
                </c:pt>
                <c:pt idx="119">
                  <c:v>43770</c:v>
                </c:pt>
                <c:pt idx="120">
                  <c:v>43800</c:v>
                </c:pt>
                <c:pt idx="121">
                  <c:v>43831</c:v>
                </c:pt>
                <c:pt idx="122">
                  <c:v>43862</c:v>
                </c:pt>
                <c:pt idx="123">
                  <c:v>43891</c:v>
                </c:pt>
                <c:pt idx="124">
                  <c:v>43922</c:v>
                </c:pt>
                <c:pt idx="125">
                  <c:v>43952</c:v>
                </c:pt>
                <c:pt idx="126">
                  <c:v>43983</c:v>
                </c:pt>
                <c:pt idx="127">
                  <c:v>44013</c:v>
                </c:pt>
                <c:pt idx="128">
                  <c:v>44044</c:v>
                </c:pt>
                <c:pt idx="129">
                  <c:v>44075</c:v>
                </c:pt>
                <c:pt idx="130">
                  <c:v>44105</c:v>
                </c:pt>
                <c:pt idx="131">
                  <c:v>44136</c:v>
                </c:pt>
                <c:pt idx="132">
                  <c:v>44166</c:v>
                </c:pt>
                <c:pt idx="133">
                  <c:v>44197</c:v>
                </c:pt>
                <c:pt idx="134">
                  <c:v>44228</c:v>
                </c:pt>
                <c:pt idx="135">
                  <c:v>44256</c:v>
                </c:pt>
                <c:pt idx="136">
                  <c:v>44287</c:v>
                </c:pt>
                <c:pt idx="137">
                  <c:v>44317</c:v>
                </c:pt>
                <c:pt idx="138">
                  <c:v>44348</c:v>
                </c:pt>
                <c:pt idx="139">
                  <c:v>44378</c:v>
                </c:pt>
                <c:pt idx="140">
                  <c:v>44409</c:v>
                </c:pt>
                <c:pt idx="141">
                  <c:v>44440</c:v>
                </c:pt>
                <c:pt idx="142">
                  <c:v>44470</c:v>
                </c:pt>
                <c:pt idx="143">
                  <c:v>44501</c:v>
                </c:pt>
                <c:pt idx="144">
                  <c:v>44531</c:v>
                </c:pt>
                <c:pt idx="145">
                  <c:v>44562</c:v>
                </c:pt>
                <c:pt idx="146">
                  <c:v>44593</c:v>
                </c:pt>
                <c:pt idx="147">
                  <c:v>44621</c:v>
                </c:pt>
                <c:pt idx="148">
                  <c:v>44652</c:v>
                </c:pt>
                <c:pt idx="149">
                  <c:v>44682</c:v>
                </c:pt>
                <c:pt idx="150">
                  <c:v>44713</c:v>
                </c:pt>
                <c:pt idx="151">
                  <c:v>44743</c:v>
                </c:pt>
                <c:pt idx="152">
                  <c:v>44774</c:v>
                </c:pt>
                <c:pt idx="153">
                  <c:v>44805</c:v>
                </c:pt>
                <c:pt idx="154">
                  <c:v>44835</c:v>
                </c:pt>
                <c:pt idx="155">
                  <c:v>44866</c:v>
                </c:pt>
                <c:pt idx="156">
                  <c:v>44896</c:v>
                </c:pt>
                <c:pt idx="157">
                  <c:v>44927</c:v>
                </c:pt>
                <c:pt idx="158">
                  <c:v>44958</c:v>
                </c:pt>
                <c:pt idx="159">
                  <c:v>44986</c:v>
                </c:pt>
                <c:pt idx="160">
                  <c:v>45017</c:v>
                </c:pt>
                <c:pt idx="161">
                  <c:v>45047</c:v>
                </c:pt>
                <c:pt idx="162">
                  <c:v>45078</c:v>
                </c:pt>
                <c:pt idx="163">
                  <c:v>45108</c:v>
                </c:pt>
                <c:pt idx="164">
                  <c:v>45139</c:v>
                </c:pt>
                <c:pt idx="165">
                  <c:v>45170</c:v>
                </c:pt>
                <c:pt idx="166">
                  <c:v>45200</c:v>
                </c:pt>
                <c:pt idx="167">
                  <c:v>45231</c:v>
                </c:pt>
                <c:pt idx="168">
                  <c:v>45261</c:v>
                </c:pt>
                <c:pt idx="169">
                  <c:v>45292</c:v>
                </c:pt>
                <c:pt idx="170">
                  <c:v>45323</c:v>
                </c:pt>
                <c:pt idx="171">
                  <c:v>45352</c:v>
                </c:pt>
                <c:pt idx="172">
                  <c:v>45383</c:v>
                </c:pt>
                <c:pt idx="173">
                  <c:v>45413</c:v>
                </c:pt>
                <c:pt idx="174">
                  <c:v>45444</c:v>
                </c:pt>
                <c:pt idx="175">
                  <c:v>45474</c:v>
                </c:pt>
                <c:pt idx="176">
                  <c:v>45505</c:v>
                </c:pt>
                <c:pt idx="177">
                  <c:v>45536</c:v>
                </c:pt>
                <c:pt idx="178">
                  <c:v>45566</c:v>
                </c:pt>
                <c:pt idx="179">
                  <c:v>45597</c:v>
                </c:pt>
                <c:pt idx="180">
                  <c:v>45627</c:v>
                </c:pt>
                <c:pt idx="181">
                  <c:v>45658</c:v>
                </c:pt>
                <c:pt idx="182">
                  <c:v>45689</c:v>
                </c:pt>
                <c:pt idx="183">
                  <c:v>45717</c:v>
                </c:pt>
                <c:pt idx="184">
                  <c:v>45748</c:v>
                </c:pt>
                <c:pt idx="185">
                  <c:v>45778</c:v>
                </c:pt>
                <c:pt idx="186">
                  <c:v>45809</c:v>
                </c:pt>
                <c:pt idx="187">
                  <c:v>45839</c:v>
                </c:pt>
                <c:pt idx="188">
                  <c:v>45870</c:v>
                </c:pt>
                <c:pt idx="189">
                  <c:v>45901</c:v>
                </c:pt>
                <c:pt idx="190">
                  <c:v>45931</c:v>
                </c:pt>
                <c:pt idx="191">
                  <c:v>45962</c:v>
                </c:pt>
                <c:pt idx="192">
                  <c:v>45992</c:v>
                </c:pt>
                <c:pt idx="193">
                  <c:v>46023</c:v>
                </c:pt>
                <c:pt idx="194">
                  <c:v>46054</c:v>
                </c:pt>
                <c:pt idx="195">
                  <c:v>46082</c:v>
                </c:pt>
                <c:pt idx="196">
                  <c:v>46113</c:v>
                </c:pt>
                <c:pt idx="197">
                  <c:v>46143</c:v>
                </c:pt>
                <c:pt idx="198">
                  <c:v>46174</c:v>
                </c:pt>
                <c:pt idx="199">
                  <c:v>46204</c:v>
                </c:pt>
                <c:pt idx="200">
                  <c:v>46235</c:v>
                </c:pt>
                <c:pt idx="201">
                  <c:v>46266</c:v>
                </c:pt>
              </c:numCache>
            </c:numRef>
          </c:cat>
          <c:val>
            <c:numRef>
              <c:f>Mes!$F$2:$F$203</c:f>
              <c:numCache>
                <c:formatCode>General</c:formatCode>
                <c:ptCount val="202"/>
                <c:pt idx="0">
                  <c:v>11.312200000000001</c:v>
                </c:pt>
                <c:pt idx="1">
                  <c:v>14.8787</c:v>
                </c:pt>
                <c:pt idx="2">
                  <c:v>12.694699999999999</c:v>
                </c:pt>
                <c:pt idx="3">
                  <c:v>11.959</c:v>
                </c:pt>
                <c:pt idx="4">
                  <c:v>12.4399</c:v>
                </c:pt>
                <c:pt idx="5">
                  <c:v>12.263400000000001</c:v>
                </c:pt>
                <c:pt idx="6">
                  <c:v>11.9801</c:v>
                </c:pt>
                <c:pt idx="7">
                  <c:v>12.8583</c:v>
                </c:pt>
                <c:pt idx="8">
                  <c:v>11.3779</c:v>
                </c:pt>
                <c:pt idx="9">
                  <c:v>10.8675</c:v>
                </c:pt>
                <c:pt idx="10">
                  <c:v>10.452500000000001</c:v>
                </c:pt>
                <c:pt idx="11">
                  <c:v>10.934100000000001</c:v>
                </c:pt>
                <c:pt idx="12">
                  <c:v>11.2264</c:v>
                </c:pt>
                <c:pt idx="13">
                  <c:v>13.8965</c:v>
                </c:pt>
                <c:pt idx="14">
                  <c:v>13.1393</c:v>
                </c:pt>
                <c:pt idx="15">
                  <c:v>10.9483</c:v>
                </c:pt>
                <c:pt idx="16">
                  <c:v>11.2743</c:v>
                </c:pt>
                <c:pt idx="17">
                  <c:v>11.553599999999999</c:v>
                </c:pt>
                <c:pt idx="18">
                  <c:v>11.036</c:v>
                </c:pt>
                <c:pt idx="19">
                  <c:v>11.704000000000001</c:v>
                </c:pt>
                <c:pt idx="20">
                  <c:v>10.415699999999999</c:v>
                </c:pt>
                <c:pt idx="21">
                  <c:v>9.9278999999999993</c:v>
                </c:pt>
                <c:pt idx="22">
                  <c:v>9.3596000000000004</c:v>
                </c:pt>
                <c:pt idx="23">
                  <c:v>9.4934999999999992</c:v>
                </c:pt>
                <c:pt idx="24">
                  <c:v>10.0677</c:v>
                </c:pt>
                <c:pt idx="25">
                  <c:v>12.7911</c:v>
                </c:pt>
                <c:pt idx="26">
                  <c:v>12.074999999999999</c:v>
                </c:pt>
                <c:pt idx="27">
                  <c:v>10.5024</c:v>
                </c:pt>
                <c:pt idx="28">
                  <c:v>11.087</c:v>
                </c:pt>
                <c:pt idx="29">
                  <c:v>10.994999999999999</c:v>
                </c:pt>
                <c:pt idx="30">
                  <c:v>10.2437</c:v>
                </c:pt>
                <c:pt idx="31">
                  <c:v>11.155799999999999</c:v>
                </c:pt>
                <c:pt idx="32">
                  <c:v>9.9893000000000001</c:v>
                </c:pt>
                <c:pt idx="33">
                  <c:v>10.144399999999999</c:v>
                </c:pt>
                <c:pt idx="34">
                  <c:v>9.1692</c:v>
                </c:pt>
                <c:pt idx="35">
                  <c:v>9.4619</c:v>
                </c:pt>
                <c:pt idx="36">
                  <c:v>9.9404000000000003</c:v>
                </c:pt>
                <c:pt idx="37">
                  <c:v>12.3415</c:v>
                </c:pt>
                <c:pt idx="38">
                  <c:v>12.0105</c:v>
                </c:pt>
                <c:pt idx="39">
                  <c:v>10.383800000000001</c:v>
                </c:pt>
                <c:pt idx="40">
                  <c:v>10.4518</c:v>
                </c:pt>
                <c:pt idx="41">
                  <c:v>9.8203999999999994</c:v>
                </c:pt>
                <c:pt idx="42">
                  <c:v>9.5105000000000004</c:v>
                </c:pt>
                <c:pt idx="43">
                  <c:v>10.162599999999999</c:v>
                </c:pt>
                <c:pt idx="44">
                  <c:v>9.6613000000000007</c:v>
                </c:pt>
                <c:pt idx="45">
                  <c:v>9.1692</c:v>
                </c:pt>
                <c:pt idx="46">
                  <c:v>8.1300000000000008</c:v>
                </c:pt>
                <c:pt idx="47">
                  <c:v>8.6267999999999994</c:v>
                </c:pt>
                <c:pt idx="48">
                  <c:v>8.6472999999999995</c:v>
                </c:pt>
                <c:pt idx="49">
                  <c:v>11.532400000000001</c:v>
                </c:pt>
                <c:pt idx="50">
                  <c:v>11.0878</c:v>
                </c:pt>
                <c:pt idx="51">
                  <c:v>9.8445</c:v>
                </c:pt>
                <c:pt idx="52">
                  <c:v>9.3084000000000007</c:v>
                </c:pt>
                <c:pt idx="53">
                  <c:v>9.0673999999999992</c:v>
                </c:pt>
                <c:pt idx="54">
                  <c:v>9.4018999999999995</c:v>
                </c:pt>
                <c:pt idx="55">
                  <c:v>9.6865000000000006</c:v>
                </c:pt>
                <c:pt idx="56">
                  <c:v>9.16</c:v>
                </c:pt>
                <c:pt idx="57">
                  <c:v>8.6057000000000006</c:v>
                </c:pt>
                <c:pt idx="58">
                  <c:v>8.0952999999999999</c:v>
                </c:pt>
                <c:pt idx="59">
                  <c:v>8.0622000000000007</c:v>
                </c:pt>
                <c:pt idx="60">
                  <c:v>9.0374999999999996</c:v>
                </c:pt>
                <c:pt idx="61">
                  <c:v>11.1517</c:v>
                </c:pt>
                <c:pt idx="62">
                  <c:v>10.227600000000001</c:v>
                </c:pt>
                <c:pt idx="63">
                  <c:v>9.1227999999999998</c:v>
                </c:pt>
                <c:pt idx="64">
                  <c:v>9.7372999999999994</c:v>
                </c:pt>
                <c:pt idx="65">
                  <c:v>9.2216000000000005</c:v>
                </c:pt>
                <c:pt idx="66">
                  <c:v>8.4986999999999995</c:v>
                </c:pt>
                <c:pt idx="67">
                  <c:v>9.2236999999999991</c:v>
                </c:pt>
                <c:pt idx="68">
                  <c:v>9.3035999999999994</c:v>
                </c:pt>
                <c:pt idx="69">
                  <c:v>9.0681999999999992</c:v>
                </c:pt>
                <c:pt idx="70">
                  <c:v>8.4384999999999994</c:v>
                </c:pt>
                <c:pt idx="71">
                  <c:v>7.5631000000000004</c:v>
                </c:pt>
                <c:pt idx="72">
                  <c:v>8.8226999999999993</c:v>
                </c:pt>
                <c:pt idx="73">
                  <c:v>12.1784</c:v>
                </c:pt>
                <c:pt idx="74">
                  <c:v>10.367800000000001</c:v>
                </c:pt>
                <c:pt idx="75">
                  <c:v>10.464600000000001</c:v>
                </c:pt>
                <c:pt idx="76">
                  <c:v>9.3194999999999997</c:v>
                </c:pt>
                <c:pt idx="77">
                  <c:v>9.2373999999999992</c:v>
                </c:pt>
                <c:pt idx="78">
                  <c:v>9.19</c:v>
                </c:pt>
                <c:pt idx="79">
                  <c:v>10.2006</c:v>
                </c:pt>
                <c:pt idx="80">
                  <c:v>9.2325999999999997</c:v>
                </c:pt>
                <c:pt idx="81">
                  <c:v>8.8534000000000006</c:v>
                </c:pt>
                <c:pt idx="82">
                  <c:v>8.6280000000000001</c:v>
                </c:pt>
                <c:pt idx="83">
                  <c:v>7.7732000000000001</c:v>
                </c:pt>
                <c:pt idx="84">
                  <c:v>9.0970999999999993</c:v>
                </c:pt>
                <c:pt idx="85">
                  <c:v>11.956899999999999</c:v>
                </c:pt>
                <c:pt idx="86">
                  <c:v>10.872999999999999</c:v>
                </c:pt>
                <c:pt idx="87">
                  <c:v>9.9046000000000003</c:v>
                </c:pt>
                <c:pt idx="88">
                  <c:v>9.1358999999999995</c:v>
                </c:pt>
                <c:pt idx="89">
                  <c:v>9.8379999999999992</c:v>
                </c:pt>
                <c:pt idx="90">
                  <c:v>8.9772999999999996</c:v>
                </c:pt>
                <c:pt idx="91">
                  <c:v>9.9404000000000003</c:v>
                </c:pt>
                <c:pt idx="92">
                  <c:v>9.5167999999999999</c:v>
                </c:pt>
                <c:pt idx="93">
                  <c:v>9.5469000000000008</c:v>
                </c:pt>
                <c:pt idx="94">
                  <c:v>8.7399000000000004</c:v>
                </c:pt>
                <c:pt idx="95">
                  <c:v>8.7647999999999993</c:v>
                </c:pt>
                <c:pt idx="96">
                  <c:v>8.9122000000000003</c:v>
                </c:pt>
                <c:pt idx="97">
                  <c:v>12.1374</c:v>
                </c:pt>
                <c:pt idx="98">
                  <c:v>11.1882</c:v>
                </c:pt>
                <c:pt idx="99">
                  <c:v>9.7715999999999994</c:v>
                </c:pt>
                <c:pt idx="100">
                  <c:v>9.7292000000000005</c:v>
                </c:pt>
                <c:pt idx="101">
                  <c:v>9.9794999999999998</c:v>
                </c:pt>
                <c:pt idx="102">
                  <c:v>9.3085000000000004</c:v>
                </c:pt>
                <c:pt idx="103">
                  <c:v>10.042299999999999</c:v>
                </c:pt>
                <c:pt idx="104">
                  <c:v>9.4291999999999998</c:v>
                </c:pt>
                <c:pt idx="105">
                  <c:v>9.6707000000000001</c:v>
                </c:pt>
                <c:pt idx="106">
                  <c:v>9.3614999999999995</c:v>
                </c:pt>
                <c:pt idx="107">
                  <c:v>8.9905000000000008</c:v>
                </c:pt>
                <c:pt idx="108">
                  <c:v>9.9891000000000005</c:v>
                </c:pt>
                <c:pt idx="109">
                  <c:v>13.075200000000001</c:v>
                </c:pt>
                <c:pt idx="110">
                  <c:v>12.092599999999999</c:v>
                </c:pt>
                <c:pt idx="111">
                  <c:v>11.1814</c:v>
                </c:pt>
                <c:pt idx="112">
                  <c:v>10.656599999999999</c:v>
                </c:pt>
                <c:pt idx="113">
                  <c:v>10.9519</c:v>
                </c:pt>
                <c:pt idx="114">
                  <c:v>9.7228999999999992</c:v>
                </c:pt>
                <c:pt idx="115">
                  <c:v>11.2807</c:v>
                </c:pt>
                <c:pt idx="116">
                  <c:v>11.1973</c:v>
                </c:pt>
                <c:pt idx="117">
                  <c:v>10.8003</c:v>
                </c:pt>
                <c:pt idx="118">
                  <c:v>10.1236</c:v>
                </c:pt>
                <c:pt idx="119">
                  <c:v>9.6186000000000007</c:v>
                </c:pt>
                <c:pt idx="120">
                  <c:v>9.9497</c:v>
                </c:pt>
                <c:pt idx="121">
                  <c:v>13.458500000000001</c:v>
                </c:pt>
                <c:pt idx="122">
                  <c:v>12.8131</c:v>
                </c:pt>
                <c:pt idx="123">
                  <c:v>13.1828</c:v>
                </c:pt>
                <c:pt idx="124">
                  <c:v>20.485299999999999</c:v>
                </c:pt>
                <c:pt idx="125">
                  <c:v>21.972000000000001</c:v>
                </c:pt>
                <c:pt idx="126">
                  <c:v>20.359100000000002</c:v>
                </c:pt>
                <c:pt idx="127">
                  <c:v>20.9147</c:v>
                </c:pt>
                <c:pt idx="128">
                  <c:v>17.442699999999999</c:v>
                </c:pt>
                <c:pt idx="129">
                  <c:v>16.2928</c:v>
                </c:pt>
                <c:pt idx="130">
                  <c:v>15.2814</c:v>
                </c:pt>
                <c:pt idx="131">
                  <c:v>13.912800000000001</c:v>
                </c:pt>
                <c:pt idx="132">
                  <c:v>13.914199999999999</c:v>
                </c:pt>
                <c:pt idx="133">
                  <c:v>17.563300000000002</c:v>
                </c:pt>
                <c:pt idx="134">
                  <c:v>15.5852</c:v>
                </c:pt>
                <c:pt idx="135">
                  <c:v>14.7255</c:v>
                </c:pt>
                <c:pt idx="136">
                  <c:v>15.488</c:v>
                </c:pt>
                <c:pt idx="137">
                  <c:v>15.2042</c:v>
                </c:pt>
                <c:pt idx="138">
                  <c:v>14.646599999999999</c:v>
                </c:pt>
                <c:pt idx="139">
                  <c:v>13.0585</c:v>
                </c:pt>
                <c:pt idx="140">
                  <c:v>12.8614</c:v>
                </c:pt>
                <c:pt idx="141">
                  <c:v>11.9613</c:v>
                </c:pt>
                <c:pt idx="142">
                  <c:v>11.995200000000001</c:v>
                </c:pt>
                <c:pt idx="143">
                  <c:v>11.533099999999999</c:v>
                </c:pt>
                <c:pt idx="144">
                  <c:v>11.096500000000001</c:v>
                </c:pt>
                <c:pt idx="145">
                  <c:v>14.6473</c:v>
                </c:pt>
                <c:pt idx="146">
                  <c:v>12.905200000000001</c:v>
                </c:pt>
                <c:pt idx="147">
                  <c:v>12.1212</c:v>
                </c:pt>
                <c:pt idx="148">
                  <c:v>11.1685</c:v>
                </c:pt>
                <c:pt idx="149">
                  <c:v>10.648300000000001</c:v>
                </c:pt>
                <c:pt idx="150">
                  <c:v>11.261200000000001</c:v>
                </c:pt>
                <c:pt idx="151">
                  <c:v>10.988899999999999</c:v>
                </c:pt>
                <c:pt idx="152">
                  <c:v>10.6313</c:v>
                </c:pt>
                <c:pt idx="153">
                  <c:v>10.7484</c:v>
                </c:pt>
                <c:pt idx="154">
                  <c:v>9.7210000000000001</c:v>
                </c:pt>
                <c:pt idx="155">
                  <c:v>9.5007999999999999</c:v>
                </c:pt>
                <c:pt idx="156">
                  <c:v>10.2727</c:v>
                </c:pt>
                <c:pt idx="157">
                  <c:v>13.704360068</c:v>
                </c:pt>
                <c:pt idx="158">
                  <c:v>11.353126105999999</c:v>
                </c:pt>
                <c:pt idx="159">
                  <c:v>10.032543955</c:v>
                </c:pt>
                <c:pt idx="160">
                  <c:v>10.724700482999999</c:v>
                </c:pt>
                <c:pt idx="161">
                  <c:v>10.475099999999999</c:v>
                </c:pt>
                <c:pt idx="162">
                  <c:v>9.3423096210000001</c:v>
                </c:pt>
                <c:pt idx="163">
                  <c:v>9.5728505639999995</c:v>
                </c:pt>
                <c:pt idx="164">
                  <c:v>9.2773719989999996</c:v>
                </c:pt>
                <c:pt idx="165">
                  <c:v>9.2526741799999996</c:v>
                </c:pt>
                <c:pt idx="166">
                  <c:v>9.2309123839999998</c:v>
                </c:pt>
                <c:pt idx="167">
                  <c:v>9.0073861569999991</c:v>
                </c:pt>
                <c:pt idx="168">
                  <c:v>10.013717396181599</c:v>
                </c:pt>
                <c:pt idx="169">
                  <c:v>12.661635826705913</c:v>
                </c:pt>
                <c:pt idx="170">
                  <c:v>11.666144792067652</c:v>
                </c:pt>
                <c:pt idx="171">
                  <c:v>11.285719499435782</c:v>
                </c:pt>
                <c:pt idx="172">
                  <c:v>10.646715730368971</c:v>
                </c:pt>
                <c:pt idx="173">
                  <c:v>10.305870827614305</c:v>
                </c:pt>
                <c:pt idx="174">
                  <c:v>10.268590171466832</c:v>
                </c:pt>
                <c:pt idx="175">
                  <c:v>9.9181446285116568</c:v>
                </c:pt>
                <c:pt idx="176">
                  <c:v>9.6626578419937097</c:v>
                </c:pt>
                <c:pt idx="177">
                  <c:v>9.1344769517755928</c:v>
                </c:pt>
                <c:pt idx="178">
                  <c:v>9.1337601500858749</c:v>
                </c:pt>
                <c:pt idx="179">
                  <c:v>8.1687634793625499</c:v>
                </c:pt>
                <c:pt idx="180">
                  <c:v>9.1252953803636494</c:v>
                </c:pt>
                <c:pt idx="181">
                  <c:v>11.636036642818445</c:v>
                </c:pt>
                <c:pt idx="182">
                  <c:v>10.33046346346282</c:v>
                </c:pt>
                <c:pt idx="183">
                  <c:v>9.6163686629637048</c:v>
                </c:pt>
                <c:pt idx="184">
                  <c:v>8.7825059385890309</c:v>
                </c:pt>
                <c:pt idx="185">
                  <c:v>9.0364158093294087</c:v>
                </c:pt>
                <c:pt idx="186">
                  <c:v>8.5540200861558695</c:v>
                </c:pt>
                <c:pt idx="187">
                  <c:v>8.8418118741921852</c:v>
                </c:pt>
                <c:pt idx="188">
                  <c:v>8.5984509167776952</c:v>
                </c:pt>
                <c:pt idx="189">
                  <c:v>8.1734824737352785</c:v>
                </c:pt>
                <c:pt idx="190">
                  <c:v>8.2036728750044716</c:v>
                </c:pt>
                <c:pt idx="191">
                  <c:v>7.0248576645484269</c:v>
                </c:pt>
                <c:pt idx="192">
                  <c:v>7.9771036256359382</c:v>
                </c:pt>
                <c:pt idx="193">
                  <c:v>10.859452814202058</c:v>
                </c:pt>
                <c:pt idx="194">
                  <c:v>9.234958425182727</c:v>
                </c:pt>
                <c:pt idx="195">
                  <c:v>8.7933861147571992</c:v>
                </c:pt>
                <c:pt idx="196">
                  <c:v>8.7814568020438806</c:v>
                </c:pt>
                <c:pt idx="197">
                  <c:v>8.0206511267912095</c:v>
                </c:pt>
                <c:pt idx="198">
                  <c:v>8.0269262447016398</c:v>
                </c:pt>
                <c:pt idx="199">
                  <c:v>8.1045776216098808</c:v>
                </c:pt>
                <c:pt idx="200">
                  <c:v>9.3636797215898699</c:v>
                </c:pt>
              </c:numCache>
            </c:numRef>
          </c:val>
          <c:smooth val="0"/>
          <c:extLst>
            <c:ext xmlns:c16="http://schemas.microsoft.com/office/drawing/2014/chart" uri="{C3380CC4-5D6E-409C-BE32-E72D297353CC}">
              <c16:uniqueId val="{00000000-6510-464E-A58E-ACB90D092E71}"/>
            </c:ext>
          </c:extLst>
        </c:ser>
        <c:dLbls>
          <c:showLegendKey val="0"/>
          <c:showVal val="0"/>
          <c:showCatName val="0"/>
          <c:showSerName val="0"/>
          <c:showPercent val="0"/>
          <c:showBubbleSize val="0"/>
        </c:dLbls>
        <c:smooth val="0"/>
        <c:axId val="859954112"/>
        <c:axId val="1"/>
      </c:lineChart>
      <c:dateAx>
        <c:axId val="859954112"/>
        <c:scaling>
          <c:orientation val="minMax"/>
        </c:scaling>
        <c:delete val="0"/>
        <c:axPos val="b"/>
        <c:numFmt formatCode="mmm\-yy" sourceLinked="0"/>
        <c:majorTickMark val="none"/>
        <c:minorTickMark val="none"/>
        <c:tickLblPos val="low"/>
        <c:spPr>
          <a:noFill/>
          <a:ln w="9525" cap="flat" cmpd="sng" algn="ctr">
            <a:solidFill>
              <a:schemeClr val="tx1">
                <a:lumMod val="15000"/>
                <a:lumOff val="85000"/>
              </a:schemeClr>
            </a:solidFill>
            <a:round/>
          </a:ln>
          <a:effectLst/>
        </c:spPr>
        <c:txPr>
          <a:bodyPr rot="-2700000" vert="horz"/>
          <a:lstStyle/>
          <a:p>
            <a:pPr>
              <a:defRPr sz="900" b="0" i="0" u="none"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max val="26"/>
          <c:min val="8"/>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s-CO"/>
          </a:p>
        </c:txPr>
        <c:crossAx val="859954112"/>
        <c:crosses val="autoZero"/>
        <c:crossBetween val="between"/>
      </c:valAx>
      <c:spPr>
        <a:noFill/>
        <a:ln w="25400">
          <a:noFill/>
        </a:ln>
      </c:spPr>
    </c:plotArea>
    <c:legend>
      <c:legendPos val="b"/>
      <c:overlay val="0"/>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drawings/_rels/drawing2.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3.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vmlDrawing2.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xdr:from>
      <xdr:col>0</xdr:col>
      <xdr:colOff>76200</xdr:colOff>
      <xdr:row>161</xdr:row>
      <xdr:rowOff>9525</xdr:rowOff>
    </xdr:from>
    <xdr:to>
      <xdr:col>6</xdr:col>
      <xdr:colOff>1381125</xdr:colOff>
      <xdr:row>164</xdr:row>
      <xdr:rowOff>122464</xdr:rowOff>
    </xdr:to>
    <xdr:sp macro="" textlink="">
      <xdr:nvSpPr>
        <xdr:cNvPr id="2" name="Text Box 2">
          <a:extLst>
            <a:ext uri="{FF2B5EF4-FFF2-40B4-BE49-F238E27FC236}">
              <a16:creationId xmlns:a16="http://schemas.microsoft.com/office/drawing/2014/main" id="{00000000-0008-0000-0300-000002000000}"/>
            </a:ext>
          </a:extLst>
        </xdr:cNvPr>
        <xdr:cNvSpPr txBox="1">
          <a:spLocks noChangeArrowheads="1"/>
        </xdr:cNvSpPr>
      </xdr:nvSpPr>
      <xdr:spPr bwMode="auto">
        <a:xfrm>
          <a:off x="76200" y="32843561"/>
          <a:ext cx="10816318" cy="725260"/>
        </a:xfrm>
        <a:prstGeom prst="rect">
          <a:avLst/>
        </a:prstGeom>
        <a:solidFill>
          <a:srgbClr val="FFFFFF"/>
        </a:solidFill>
        <a:ln w="9525">
          <a:noFill/>
          <a:miter lim="800000"/>
          <a:headEnd/>
          <a:tailEnd/>
        </a:ln>
      </xdr:spPr>
      <xdr:txBody>
        <a:bodyPr vertOverflow="clip" wrap="square" lIns="0" tIns="27432" rIns="0" bIns="0" anchor="t" upright="1"/>
        <a:lstStyle/>
        <a:p>
          <a:pPr rtl="0">
            <a:lnSpc>
              <a:spcPts val="1300"/>
            </a:lnSpc>
            <a:defRPr sz="1000"/>
          </a:pPr>
          <a:r>
            <a:rPr lang="es-CO" sz="1100" b="0" i="0" u="none" strike="noStrike" baseline="0">
              <a:solidFill>
                <a:srgbClr val="000000"/>
              </a:solidFill>
              <a:latin typeface="Times New Roman"/>
              <a:cs typeface="Times New Roman"/>
            </a:rPr>
            <a:t>El Banco de la República agradece su colaboración. Los resultados de la encuesta son divulgados en el Informe sobre Inflación, elaborado por la Subgerencia de Estudios Económicos. Cualquier sugerencia relacionada con la encuesta es bienvenida y debe ser dirigida a alguna de las direcciones señaladas en el encabezado de la primera página.</a:t>
          </a:r>
        </a:p>
        <a:p>
          <a:pPr rtl="0">
            <a:lnSpc>
              <a:spcPts val="1300"/>
            </a:lnSpc>
            <a:defRPr sz="1000"/>
          </a:pPr>
          <a:r>
            <a:rPr lang="es-CO" sz="1100" b="0" i="0" u="none" strike="noStrike" baseline="0">
              <a:solidFill>
                <a:srgbClr val="000000"/>
              </a:solidFill>
              <a:latin typeface="Times New Roman"/>
              <a:cs typeface="Times New Roman"/>
            </a:rPr>
            <a:t>No olvide guardar copia de sus respuestas para: (i) contrastar las realizaciones de las variables con las expectativas que usted se formó en el pasado acerca de la evolución futura de dichas variables, y (ii) evaluar si usted experimentó cambios en su percepción acerca del comportamiento futuro de las variables.</a:t>
          </a:r>
        </a:p>
      </xdr:txBody>
    </xdr:sp>
    <xdr:clientData/>
  </xdr:twoCellAnchor>
  <mc:AlternateContent xmlns:mc="http://schemas.openxmlformats.org/markup-compatibility/2006">
    <mc:Choice xmlns:a14="http://schemas.microsoft.com/office/drawing/2010/main" Requires="a14">
      <xdr:twoCellAnchor editAs="oneCell">
        <xdr:from>
          <xdr:col>0</xdr:col>
          <xdr:colOff>104775</xdr:colOff>
          <xdr:row>1</xdr:row>
          <xdr:rowOff>9525</xdr:rowOff>
        </xdr:from>
        <xdr:to>
          <xdr:col>3</xdr:col>
          <xdr:colOff>123825</xdr:colOff>
          <xdr:row>6</xdr:row>
          <xdr:rowOff>9525</xdr:rowOff>
        </xdr:to>
        <xdr:sp macro="" textlink="">
          <xdr:nvSpPr>
            <xdr:cNvPr id="5102593" name="Object 1" hidden="1">
              <a:extLst>
                <a:ext uri="{63B3BB69-23CF-44E3-9099-C40C66FF867C}">
                  <a14:compatExt spid="_x0000_s5102593"/>
                </a:ext>
                <a:ext uri="{FF2B5EF4-FFF2-40B4-BE49-F238E27FC236}">
                  <a16:creationId xmlns:a16="http://schemas.microsoft.com/office/drawing/2014/main" id="{00000000-0008-0000-0300-000001DC4D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47625</xdr:colOff>
      <xdr:row>2</xdr:row>
      <xdr:rowOff>66675</xdr:rowOff>
    </xdr:to>
    <xdr:pic>
      <xdr:nvPicPr>
        <xdr:cNvPr id="6313048" name="Picture 1">
          <a:extLst>
            <a:ext uri="{FF2B5EF4-FFF2-40B4-BE49-F238E27FC236}">
              <a16:creationId xmlns:a16="http://schemas.microsoft.com/office/drawing/2014/main" id="{00000000-0008-0000-0400-000058546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9432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57150</xdr:colOff>
      <xdr:row>124</xdr:row>
      <xdr:rowOff>109182</xdr:rowOff>
    </xdr:from>
    <xdr:to>
      <xdr:col>6</xdr:col>
      <xdr:colOff>227462</xdr:colOff>
      <xdr:row>131</xdr:row>
      <xdr:rowOff>27131</xdr:rowOff>
    </xdr:to>
    <xdr:sp macro="" textlink="">
      <xdr:nvSpPr>
        <xdr:cNvPr id="8" name="Text Box 8">
          <a:extLst>
            <a:ext uri="{FF2B5EF4-FFF2-40B4-BE49-F238E27FC236}">
              <a16:creationId xmlns:a16="http://schemas.microsoft.com/office/drawing/2014/main" id="{00000000-0008-0000-0400-000008000000}"/>
            </a:ext>
          </a:extLst>
        </xdr:cNvPr>
        <xdr:cNvSpPr txBox="1">
          <a:spLocks noChangeArrowheads="1"/>
        </xdr:cNvSpPr>
      </xdr:nvSpPr>
      <xdr:spPr bwMode="auto">
        <a:xfrm>
          <a:off x="57150" y="19798921"/>
          <a:ext cx="4307290" cy="1012613"/>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s-CO" sz="900" b="0" i="0" u="none" strike="noStrike" baseline="0">
              <a:solidFill>
                <a:srgbClr val="000000"/>
              </a:solidFill>
              <a:latin typeface="Arial"/>
              <a:cs typeface="Arial"/>
            </a:rPr>
            <a:t>Nota: </a:t>
          </a:r>
          <a:r>
            <a:rPr lang="es-ES" sz="1000">
              <a:effectLst/>
              <a:latin typeface="+mn-lt"/>
              <a:ea typeface="+mn-ea"/>
              <a:cs typeface="+mn-cs"/>
            </a:rPr>
            <a:t>En febrero de 2022 el DANE recalculó las cifras de empleo y desempleo. Los datos son expandidos con proyecciones de población elaboradas con base en los resultados del Censo Nacional de Población</a:t>
          </a:r>
          <a:r>
            <a:rPr lang="es-ES" sz="1000" baseline="0">
              <a:effectLst/>
              <a:latin typeface="+mn-lt"/>
              <a:ea typeface="+mn-ea"/>
              <a:cs typeface="+mn-cs"/>
            </a:rPr>
            <a:t> y </a:t>
          </a:r>
          <a:r>
            <a:rPr lang="es-ES" sz="1000">
              <a:effectLst/>
              <a:latin typeface="+mn-lt"/>
              <a:ea typeface="+mn-ea"/>
              <a:cs typeface="+mn-cs"/>
            </a:rPr>
            <a:t>Vivienda 2018.  Para mayor información: </a:t>
          </a:r>
          <a:r>
            <a:rPr lang="es-ES" sz="1000" b="0" i="0" u="none" strike="noStrike">
              <a:effectLst/>
              <a:latin typeface="+mn-lt"/>
              <a:ea typeface="+mn-ea"/>
              <a:cs typeface="+mn-cs"/>
              <a:hlinkClick xmlns:r="http://schemas.openxmlformats.org/officeDocument/2006/relationships" r:id=""/>
            </a:rPr>
            <a:t>https://www.dane.gov.co/index.php/estadisticas-por-tema/mercado-laboral/empleo-y-desempleo</a:t>
          </a:r>
          <a:endParaRPr lang="es-CO" sz="9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1</xdr:col>
          <xdr:colOff>419100</xdr:colOff>
          <xdr:row>38</xdr:row>
          <xdr:rowOff>76200</xdr:rowOff>
        </xdr:from>
        <xdr:to>
          <xdr:col>1</xdr:col>
          <xdr:colOff>495300</xdr:colOff>
          <xdr:row>38</xdr:row>
          <xdr:rowOff>161925</xdr:rowOff>
        </xdr:to>
        <xdr:sp macro="" textlink="">
          <xdr:nvSpPr>
            <xdr:cNvPr id="1605633" name="CommandButton4" hidden="1">
              <a:extLst>
                <a:ext uri="{63B3BB69-23CF-44E3-9099-C40C66FF867C}">
                  <a14:compatExt spid="_x0000_s1605633"/>
                </a:ext>
                <a:ext uri="{FF2B5EF4-FFF2-40B4-BE49-F238E27FC236}">
                  <a16:creationId xmlns:a16="http://schemas.microsoft.com/office/drawing/2014/main" id="{00000000-0008-0000-0400-0000018018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7</xdr:col>
      <xdr:colOff>0</xdr:colOff>
      <xdr:row>7</xdr:row>
      <xdr:rowOff>57150</xdr:rowOff>
    </xdr:from>
    <xdr:to>
      <xdr:col>12</xdr:col>
      <xdr:colOff>19050</xdr:colOff>
      <xdr:row>23</xdr:row>
      <xdr:rowOff>123825</xdr:rowOff>
    </xdr:to>
    <xdr:graphicFrame macro="">
      <xdr:nvGraphicFramePr>
        <xdr:cNvPr id="6313050" name="Gráfico 1">
          <a:extLst>
            <a:ext uri="{FF2B5EF4-FFF2-40B4-BE49-F238E27FC236}">
              <a16:creationId xmlns:a16="http://schemas.microsoft.com/office/drawing/2014/main" id="{00000000-0008-0000-0400-00005A546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0</xdr:colOff>
      <xdr:row>29</xdr:row>
      <xdr:rowOff>0</xdr:rowOff>
    </xdr:from>
    <xdr:to>
      <xdr:col>12</xdr:col>
      <xdr:colOff>19050</xdr:colOff>
      <xdr:row>45</xdr:row>
      <xdr:rowOff>66675</xdr:rowOff>
    </xdr:to>
    <xdr:graphicFrame macro="">
      <xdr:nvGraphicFramePr>
        <xdr:cNvPr id="6313051" name="Gráfico 1">
          <a:extLst>
            <a:ext uri="{FF2B5EF4-FFF2-40B4-BE49-F238E27FC236}">
              <a16:creationId xmlns:a16="http://schemas.microsoft.com/office/drawing/2014/main" id="{00000000-0008-0000-0400-00005B546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0</xdr:colOff>
      <xdr:row>51</xdr:row>
      <xdr:rowOff>0</xdr:rowOff>
    </xdr:from>
    <xdr:to>
      <xdr:col>12</xdr:col>
      <xdr:colOff>19050</xdr:colOff>
      <xdr:row>67</xdr:row>
      <xdr:rowOff>66675</xdr:rowOff>
    </xdr:to>
    <xdr:graphicFrame macro="">
      <xdr:nvGraphicFramePr>
        <xdr:cNvPr id="6313052" name="Gráfico 1">
          <a:extLst>
            <a:ext uri="{FF2B5EF4-FFF2-40B4-BE49-F238E27FC236}">
              <a16:creationId xmlns:a16="http://schemas.microsoft.com/office/drawing/2014/main" id="{00000000-0008-0000-0400-00005C546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0</xdr:colOff>
      <xdr:row>72</xdr:row>
      <xdr:rowOff>0</xdr:rowOff>
    </xdr:from>
    <xdr:to>
      <xdr:col>12</xdr:col>
      <xdr:colOff>19050</xdr:colOff>
      <xdr:row>88</xdr:row>
      <xdr:rowOff>66675</xdr:rowOff>
    </xdr:to>
    <xdr:graphicFrame macro="">
      <xdr:nvGraphicFramePr>
        <xdr:cNvPr id="6313053" name="Gráfico 1">
          <a:extLst>
            <a:ext uri="{FF2B5EF4-FFF2-40B4-BE49-F238E27FC236}">
              <a16:creationId xmlns:a16="http://schemas.microsoft.com/office/drawing/2014/main" id="{00000000-0008-0000-0400-00005D546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0</xdr:colOff>
      <xdr:row>93</xdr:row>
      <xdr:rowOff>0</xdr:rowOff>
    </xdr:from>
    <xdr:to>
      <xdr:col>12</xdr:col>
      <xdr:colOff>19050</xdr:colOff>
      <xdr:row>109</xdr:row>
      <xdr:rowOff>66675</xdr:rowOff>
    </xdr:to>
    <xdr:graphicFrame macro="">
      <xdr:nvGraphicFramePr>
        <xdr:cNvPr id="6313054" name="Gráfico 1">
          <a:extLst>
            <a:ext uri="{FF2B5EF4-FFF2-40B4-BE49-F238E27FC236}">
              <a16:creationId xmlns:a16="http://schemas.microsoft.com/office/drawing/2014/main" id="{00000000-0008-0000-0400-00005E546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0</xdr:colOff>
      <xdr:row>114</xdr:row>
      <xdr:rowOff>0</xdr:rowOff>
    </xdr:from>
    <xdr:to>
      <xdr:col>12</xdr:col>
      <xdr:colOff>19050</xdr:colOff>
      <xdr:row>130</xdr:row>
      <xdr:rowOff>66675</xdr:rowOff>
    </xdr:to>
    <xdr:graphicFrame macro="">
      <xdr:nvGraphicFramePr>
        <xdr:cNvPr id="6313055" name="Gráfico 1">
          <a:extLst>
            <a:ext uri="{FF2B5EF4-FFF2-40B4-BE49-F238E27FC236}">
              <a16:creationId xmlns:a16="http://schemas.microsoft.com/office/drawing/2014/main" id="{00000000-0008-0000-0400-00005F546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4.bin"/><Relationship Id="rId1" Type="http://schemas.openxmlformats.org/officeDocument/2006/relationships/hyperlink" Target="mailto:expectativas-trim@banrep.gov.co" TargetMode="External"/><Relationship Id="rId6" Type="http://schemas.openxmlformats.org/officeDocument/2006/relationships/image" Target="../media/image1.emf"/><Relationship Id="rId5" Type="http://schemas.openxmlformats.org/officeDocument/2006/relationships/oleObject" Target="../embeddings/Microsoft_Word_97_-_2003_Document.doc"/><Relationship Id="rId4"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5.bin"/><Relationship Id="rId6" Type="http://schemas.openxmlformats.org/officeDocument/2006/relationships/comments" Target="../comments2.xml"/><Relationship Id="rId5" Type="http://schemas.openxmlformats.org/officeDocument/2006/relationships/image" Target="../media/image2.emf"/><Relationship Id="rId4" Type="http://schemas.openxmlformats.org/officeDocument/2006/relationships/control" Target="../activeX/activeX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2">
    <tabColor rgb="FFFFC000"/>
  </sheetPr>
  <dimension ref="A1:F203"/>
  <sheetViews>
    <sheetView workbookViewId="0">
      <pane xSplit="1" ySplit="1" topLeftCell="B146" activePane="bottomRight" state="frozen"/>
      <selection activeCell="D45" sqref="D45"/>
      <selection pane="topRight" activeCell="D45" sqref="D45"/>
      <selection pane="bottomLeft" activeCell="D45" sqref="D45"/>
      <selection pane="bottomRight" activeCell="A158" sqref="A158"/>
    </sheetView>
  </sheetViews>
  <sheetFormatPr baseColWidth="10" defaultColWidth="11.42578125" defaultRowHeight="12.75" x14ac:dyDescent="0.2"/>
  <cols>
    <col min="1" max="1" width="7.42578125" style="110" bestFit="1" customWidth="1"/>
    <col min="2" max="2" width="14.5703125" style="110" bestFit="1" customWidth="1"/>
    <col min="3" max="3" width="23.5703125" style="110" bestFit="1" customWidth="1"/>
    <col min="4" max="4" width="16.85546875" style="110" bestFit="1" customWidth="1"/>
    <col min="5" max="5" width="26.42578125" style="110" bestFit="1" customWidth="1"/>
    <col min="6" max="16384" width="11.42578125" style="110"/>
  </cols>
  <sheetData>
    <row r="1" spans="1:6" ht="15" x14ac:dyDescent="0.25">
      <c r="A1" s="104"/>
      <c r="B1" s="104" t="s">
        <v>127</v>
      </c>
      <c r="C1" s="104" t="s">
        <v>149</v>
      </c>
      <c r="D1" s="104" t="s">
        <v>128</v>
      </c>
      <c r="E1" s="104" t="s">
        <v>129</v>
      </c>
      <c r="F1" s="110" t="s">
        <v>243</v>
      </c>
    </row>
    <row r="2" spans="1:6" ht="15" x14ac:dyDescent="0.25">
      <c r="A2" s="106">
        <v>40148</v>
      </c>
      <c r="B2" s="107">
        <v>2</v>
      </c>
      <c r="C2" s="107"/>
      <c r="D2" s="107">
        <v>2044.23</v>
      </c>
      <c r="E2" s="107">
        <v>-8.885758984484692</v>
      </c>
      <c r="F2" s="110">
        <v>11.312200000000001</v>
      </c>
    </row>
    <row r="3" spans="1:6" ht="15" x14ac:dyDescent="0.25">
      <c r="A3" s="106">
        <v>40179</v>
      </c>
      <c r="B3" s="107">
        <v>2.1</v>
      </c>
      <c r="C3" s="107"/>
      <c r="D3" s="107">
        <v>1982.29</v>
      </c>
      <c r="E3" s="107">
        <v>-18.099999999999998</v>
      </c>
      <c r="F3" s="110">
        <v>14.8787</v>
      </c>
    </row>
    <row r="4" spans="1:6" ht="15" x14ac:dyDescent="0.25">
      <c r="A4" s="106">
        <v>40210</v>
      </c>
      <c r="B4" s="107">
        <v>2.09</v>
      </c>
      <c r="C4" s="107"/>
      <c r="D4" s="107">
        <v>1932.32</v>
      </c>
      <c r="E4" s="107">
        <v>-24.4</v>
      </c>
      <c r="F4" s="110">
        <v>12.694699999999999</v>
      </c>
    </row>
    <row r="5" spans="1:6" ht="15" x14ac:dyDescent="0.25">
      <c r="A5" s="106">
        <v>40238</v>
      </c>
      <c r="B5" s="107">
        <v>1.84</v>
      </c>
      <c r="C5" s="107"/>
      <c r="D5" s="107">
        <v>1928.59</v>
      </c>
      <c r="E5" s="107">
        <v>-24.7</v>
      </c>
      <c r="F5" s="110">
        <v>11.959</v>
      </c>
    </row>
    <row r="6" spans="1:6" ht="15" x14ac:dyDescent="0.25">
      <c r="A6" s="106">
        <v>40269</v>
      </c>
      <c r="B6" s="107">
        <v>1.98</v>
      </c>
      <c r="C6" s="107"/>
      <c r="D6" s="107">
        <v>1969.75</v>
      </c>
      <c r="E6" s="107">
        <v>-13.970000000000002</v>
      </c>
      <c r="F6" s="110">
        <v>12.4399</v>
      </c>
    </row>
    <row r="7" spans="1:6" ht="15" x14ac:dyDescent="0.25">
      <c r="A7" s="106">
        <v>40299</v>
      </c>
      <c r="B7" s="107">
        <v>2.0699999999999998</v>
      </c>
      <c r="C7" s="107"/>
      <c r="D7" s="107">
        <v>1971.55</v>
      </c>
      <c r="E7" s="107">
        <v>-7.9</v>
      </c>
      <c r="F7" s="110">
        <v>12.263400000000001</v>
      </c>
    </row>
    <row r="8" spans="1:6" ht="15" x14ac:dyDescent="0.25">
      <c r="A8" s="106">
        <v>40330</v>
      </c>
      <c r="B8" s="107">
        <v>2.25</v>
      </c>
      <c r="C8" s="107"/>
      <c r="D8" s="107">
        <v>1916.46</v>
      </c>
      <c r="E8" s="107">
        <v>-11.22</v>
      </c>
      <c r="F8" s="110">
        <v>11.9801</v>
      </c>
    </row>
    <row r="9" spans="1:6" ht="15" x14ac:dyDescent="0.25">
      <c r="A9" s="106">
        <v>40360</v>
      </c>
      <c r="B9" s="107">
        <v>2.2400000000000002</v>
      </c>
      <c r="C9" s="107"/>
      <c r="D9" s="107">
        <v>1842.79</v>
      </c>
      <c r="E9" s="107">
        <v>-9.82</v>
      </c>
      <c r="F9" s="110">
        <v>12.8583</v>
      </c>
    </row>
    <row r="10" spans="1:6" ht="15" x14ac:dyDescent="0.25">
      <c r="A10" s="106">
        <v>40391</v>
      </c>
      <c r="B10" s="107">
        <v>2.31</v>
      </c>
      <c r="C10" s="107"/>
      <c r="D10" s="107">
        <v>1823.74</v>
      </c>
      <c r="E10" s="107">
        <v>-10.38</v>
      </c>
      <c r="F10" s="110">
        <v>11.3779</v>
      </c>
    </row>
    <row r="11" spans="1:6" ht="15" x14ac:dyDescent="0.25">
      <c r="A11" s="106">
        <v>40422</v>
      </c>
      <c r="B11" s="107">
        <v>2.2799999999999998</v>
      </c>
      <c r="C11" s="107"/>
      <c r="D11" s="107">
        <v>1799.89</v>
      </c>
      <c r="E11" s="107">
        <v>-6.35</v>
      </c>
      <c r="F11" s="110">
        <v>10.8675</v>
      </c>
    </row>
    <row r="12" spans="1:6" ht="15" x14ac:dyDescent="0.25">
      <c r="A12" s="106">
        <v>40452</v>
      </c>
      <c r="B12" s="107">
        <v>2.33</v>
      </c>
      <c r="C12" s="107"/>
      <c r="D12" s="107">
        <v>1831.64</v>
      </c>
      <c r="E12" s="107">
        <v>-8.1332129601765395</v>
      </c>
      <c r="F12" s="110">
        <v>10.452500000000001</v>
      </c>
    </row>
    <row r="13" spans="1:6" ht="15" x14ac:dyDescent="0.25">
      <c r="A13" s="106">
        <v>40483</v>
      </c>
      <c r="B13" s="107">
        <v>2.59</v>
      </c>
      <c r="C13" s="107"/>
      <c r="D13" s="107">
        <v>1916.96</v>
      </c>
      <c r="E13" s="107">
        <v>-4.0305987073648186</v>
      </c>
      <c r="F13" s="110">
        <v>10.934100000000001</v>
      </c>
    </row>
    <row r="14" spans="1:6" ht="15" x14ac:dyDescent="0.25">
      <c r="A14" s="106">
        <v>40513</v>
      </c>
      <c r="B14" s="107">
        <v>3.17</v>
      </c>
      <c r="C14" s="107"/>
      <c r="D14" s="107">
        <v>1913.98</v>
      </c>
      <c r="E14" s="107">
        <v>-6.3715922376640588</v>
      </c>
      <c r="F14" s="110">
        <v>11.2264</v>
      </c>
    </row>
    <row r="15" spans="1:6" ht="15" x14ac:dyDescent="0.25">
      <c r="A15" s="106">
        <v>40544</v>
      </c>
      <c r="B15" s="107">
        <v>3.4</v>
      </c>
      <c r="C15" s="107"/>
      <c r="D15" s="107">
        <v>1857.98</v>
      </c>
      <c r="E15" s="107">
        <v>-6.27</v>
      </c>
      <c r="F15" s="110">
        <v>13.8965</v>
      </c>
    </row>
    <row r="16" spans="1:6" ht="15" x14ac:dyDescent="0.25">
      <c r="A16" s="106">
        <v>40575</v>
      </c>
      <c r="B16" s="107">
        <v>3.17</v>
      </c>
      <c r="C16" s="107"/>
      <c r="D16" s="107">
        <v>1895.56</v>
      </c>
      <c r="E16" s="107">
        <v>-1.9</v>
      </c>
      <c r="F16" s="110">
        <v>13.1393</v>
      </c>
    </row>
    <row r="17" spans="1:6" ht="15" x14ac:dyDescent="0.25">
      <c r="A17" s="106">
        <v>40603</v>
      </c>
      <c r="B17" s="107">
        <v>3.19</v>
      </c>
      <c r="C17" s="107"/>
      <c r="D17" s="107">
        <v>1879.47</v>
      </c>
      <c r="E17" s="107">
        <v>-2.5499999999999998</v>
      </c>
      <c r="F17" s="110">
        <v>10.9483</v>
      </c>
    </row>
    <row r="18" spans="1:6" ht="15" x14ac:dyDescent="0.25">
      <c r="A18" s="106">
        <v>40634</v>
      </c>
      <c r="B18" s="107">
        <v>2.84</v>
      </c>
      <c r="C18" s="107"/>
      <c r="D18" s="107">
        <v>1768.19</v>
      </c>
      <c r="E18" s="107">
        <v>-10.23</v>
      </c>
      <c r="F18" s="110">
        <v>11.2743</v>
      </c>
    </row>
    <row r="19" spans="1:6" ht="15" x14ac:dyDescent="0.25">
      <c r="A19" s="106">
        <v>40664</v>
      </c>
      <c r="B19" s="107">
        <v>3.02</v>
      </c>
      <c r="C19" s="107"/>
      <c r="D19" s="107">
        <v>1817.34</v>
      </c>
      <c r="E19" s="107">
        <v>-7.82</v>
      </c>
      <c r="F19" s="110">
        <v>11.553599999999999</v>
      </c>
    </row>
    <row r="20" spans="1:6" ht="15" x14ac:dyDescent="0.25">
      <c r="A20" s="106">
        <v>40695</v>
      </c>
      <c r="B20" s="107">
        <v>3.23</v>
      </c>
      <c r="C20" s="107"/>
      <c r="D20" s="107">
        <v>1780.16</v>
      </c>
      <c r="E20" s="107">
        <v>-7.1099999999999994</v>
      </c>
      <c r="F20" s="110">
        <v>11.036</v>
      </c>
    </row>
    <row r="21" spans="1:6" ht="15" x14ac:dyDescent="0.25">
      <c r="A21" s="106">
        <v>40725</v>
      </c>
      <c r="B21" s="107">
        <v>3.42</v>
      </c>
      <c r="C21" s="107"/>
      <c r="D21" s="107">
        <v>1777.82</v>
      </c>
      <c r="E21" s="107">
        <v>-3.53</v>
      </c>
      <c r="F21" s="110">
        <v>11.704000000000001</v>
      </c>
    </row>
    <row r="22" spans="1:6" ht="15" x14ac:dyDescent="0.25">
      <c r="A22" s="106">
        <v>40756</v>
      </c>
      <c r="B22" s="107">
        <v>3.27</v>
      </c>
      <c r="C22" s="107"/>
      <c r="D22" s="107">
        <v>1783.66</v>
      </c>
      <c r="E22" s="107">
        <v>-2.2000000000000002</v>
      </c>
      <c r="F22" s="110">
        <v>10.415699999999999</v>
      </c>
    </row>
    <row r="23" spans="1:6" ht="15" x14ac:dyDescent="0.25">
      <c r="A23" s="106">
        <v>40787</v>
      </c>
      <c r="B23" s="107">
        <v>3.73</v>
      </c>
      <c r="C23" s="107"/>
      <c r="D23" s="107">
        <v>1915.1</v>
      </c>
      <c r="E23" s="107">
        <v>6.4</v>
      </c>
      <c r="F23" s="110">
        <v>9.9278999999999993</v>
      </c>
    </row>
    <row r="24" spans="1:6" ht="15" x14ac:dyDescent="0.25">
      <c r="A24" s="106">
        <v>40817</v>
      </c>
      <c r="B24" s="107">
        <v>4.0199999999999996</v>
      </c>
      <c r="C24" s="107"/>
      <c r="D24" s="107">
        <v>1863.06</v>
      </c>
      <c r="E24" s="107">
        <v>1.72</v>
      </c>
      <c r="F24" s="110">
        <v>9.3596000000000004</v>
      </c>
    </row>
    <row r="25" spans="1:6" ht="15" x14ac:dyDescent="0.25">
      <c r="A25" s="106">
        <v>40848</v>
      </c>
      <c r="B25" s="107">
        <v>3.96</v>
      </c>
      <c r="C25" s="107"/>
      <c r="D25" s="107">
        <v>1967.18</v>
      </c>
      <c r="E25" s="107">
        <v>2.62</v>
      </c>
      <c r="F25" s="110">
        <v>9.4934999999999992</v>
      </c>
    </row>
    <row r="26" spans="1:6" ht="15" x14ac:dyDescent="0.25">
      <c r="A26" s="106">
        <v>40878</v>
      </c>
      <c r="B26" s="107">
        <v>3.73</v>
      </c>
      <c r="C26" s="107"/>
      <c r="D26" s="107">
        <v>1942.7</v>
      </c>
      <c r="E26" s="107">
        <v>1.500538145644148</v>
      </c>
      <c r="F26" s="110">
        <v>10.0677</v>
      </c>
    </row>
    <row r="27" spans="1:6" ht="15" x14ac:dyDescent="0.25">
      <c r="A27" s="106">
        <v>40909</v>
      </c>
      <c r="B27" s="107">
        <v>3.54</v>
      </c>
      <c r="C27" s="107"/>
      <c r="D27" s="107">
        <v>1815.08</v>
      </c>
      <c r="E27" s="107">
        <v>-2.31</v>
      </c>
      <c r="F27" s="110">
        <v>12.7911</v>
      </c>
    </row>
    <row r="28" spans="1:6" ht="15" x14ac:dyDescent="0.25">
      <c r="A28" s="106">
        <v>40940</v>
      </c>
      <c r="B28" s="107">
        <v>3.55</v>
      </c>
      <c r="C28" s="107"/>
      <c r="D28" s="107">
        <v>1767.83</v>
      </c>
      <c r="E28" s="107">
        <v>-6.74</v>
      </c>
      <c r="F28" s="110">
        <v>12.074999999999999</v>
      </c>
    </row>
    <row r="29" spans="1:6" ht="15" x14ac:dyDescent="0.25">
      <c r="A29" s="106">
        <v>40969</v>
      </c>
      <c r="B29" s="107">
        <v>3.4</v>
      </c>
      <c r="C29" s="107"/>
      <c r="D29" s="107">
        <v>1792.07</v>
      </c>
      <c r="E29" s="107">
        <v>-4.6500000000000004</v>
      </c>
      <c r="F29" s="110">
        <v>10.5024</v>
      </c>
    </row>
    <row r="30" spans="1:6" ht="15" x14ac:dyDescent="0.25">
      <c r="A30" s="106">
        <v>41000</v>
      </c>
      <c r="B30" s="107">
        <v>3.43</v>
      </c>
      <c r="C30" s="107"/>
      <c r="D30" s="107">
        <v>1761.2</v>
      </c>
      <c r="E30" s="107">
        <v>-0.4</v>
      </c>
      <c r="F30" s="110">
        <v>11.087</v>
      </c>
    </row>
    <row r="31" spans="1:6" ht="15" x14ac:dyDescent="0.25">
      <c r="A31" s="106">
        <v>41030</v>
      </c>
      <c r="B31" s="107">
        <v>3.44</v>
      </c>
      <c r="C31" s="107"/>
      <c r="D31" s="107">
        <v>1827.83</v>
      </c>
      <c r="E31" s="107">
        <v>0.57999999999999996</v>
      </c>
      <c r="F31" s="110">
        <v>10.994999999999999</v>
      </c>
    </row>
    <row r="32" spans="1:6" ht="15" x14ac:dyDescent="0.25">
      <c r="A32" s="106">
        <v>41061</v>
      </c>
      <c r="B32" s="107">
        <v>3.2</v>
      </c>
      <c r="C32" s="107"/>
      <c r="D32" s="107">
        <v>1784.6</v>
      </c>
      <c r="E32" s="107">
        <v>0.25</v>
      </c>
      <c r="F32" s="110">
        <v>10.2437</v>
      </c>
    </row>
    <row r="33" spans="1:6" ht="15" x14ac:dyDescent="0.25">
      <c r="A33" s="106">
        <v>41091</v>
      </c>
      <c r="B33" s="107">
        <v>3.03</v>
      </c>
      <c r="C33" s="107"/>
      <c r="D33" s="107">
        <v>1789.02</v>
      </c>
      <c r="E33" s="107">
        <v>0.63</v>
      </c>
      <c r="F33" s="110">
        <v>11.155799999999999</v>
      </c>
    </row>
    <row r="34" spans="1:6" ht="15" x14ac:dyDescent="0.25">
      <c r="A34" s="106">
        <v>41122</v>
      </c>
      <c r="B34" s="107">
        <v>3.11</v>
      </c>
      <c r="C34" s="107">
        <v>4.7699999999999996</v>
      </c>
      <c r="D34" s="107">
        <v>1830.5</v>
      </c>
      <c r="E34" s="107">
        <v>2.63</v>
      </c>
      <c r="F34" s="110">
        <v>9.9893000000000001</v>
      </c>
    </row>
    <row r="35" spans="1:6" ht="15" x14ac:dyDescent="0.25">
      <c r="A35" s="106">
        <v>41153</v>
      </c>
      <c r="B35" s="107">
        <v>3.08</v>
      </c>
      <c r="C35" s="107">
        <v>4.5679999999999996</v>
      </c>
      <c r="D35" s="107">
        <v>1800.52</v>
      </c>
      <c r="E35" s="107">
        <v>-5.98</v>
      </c>
      <c r="F35" s="110">
        <v>10.144399999999999</v>
      </c>
    </row>
    <row r="36" spans="1:6" ht="15" x14ac:dyDescent="0.25">
      <c r="A36" s="106">
        <v>41183</v>
      </c>
      <c r="B36" s="107">
        <v>3.06</v>
      </c>
      <c r="C36" s="107">
        <v>4.7110000000000003</v>
      </c>
      <c r="D36" s="107">
        <v>1829.89</v>
      </c>
      <c r="E36" s="107">
        <v>-1.78</v>
      </c>
      <c r="F36" s="110">
        <v>9.1692</v>
      </c>
    </row>
    <row r="37" spans="1:6" ht="15" x14ac:dyDescent="0.25">
      <c r="A37" s="106">
        <v>41214</v>
      </c>
      <c r="B37" s="107">
        <v>2.77</v>
      </c>
      <c r="C37" s="107">
        <v>4.5030000000000001</v>
      </c>
      <c r="D37" s="107">
        <v>1817.93</v>
      </c>
      <c r="E37" s="107">
        <v>-7.59</v>
      </c>
      <c r="F37" s="110">
        <v>9.4619</v>
      </c>
    </row>
    <row r="38" spans="1:6" ht="15" x14ac:dyDescent="0.25">
      <c r="A38" s="106">
        <v>41244</v>
      </c>
      <c r="B38" s="107">
        <v>2.44</v>
      </c>
      <c r="C38" s="107">
        <v>4.218</v>
      </c>
      <c r="D38" s="107">
        <v>1768.23</v>
      </c>
      <c r="E38" s="107">
        <v>-8.98</v>
      </c>
      <c r="F38" s="110">
        <v>9.9404000000000003</v>
      </c>
    </row>
    <row r="39" spans="1:6" ht="15" x14ac:dyDescent="0.25">
      <c r="A39" s="106">
        <v>41275</v>
      </c>
      <c r="B39" s="107">
        <v>2</v>
      </c>
      <c r="C39" s="107">
        <v>3.8919999999999999</v>
      </c>
      <c r="D39" s="107">
        <v>1773.24</v>
      </c>
      <c r="E39" s="107">
        <v>-2.31</v>
      </c>
      <c r="F39" s="110">
        <v>12.3415</v>
      </c>
    </row>
    <row r="40" spans="1:6" ht="15" x14ac:dyDescent="0.25">
      <c r="A40" s="106">
        <v>41306</v>
      </c>
      <c r="B40" s="107">
        <v>1.83</v>
      </c>
      <c r="C40" s="107">
        <v>3.6190000000000002</v>
      </c>
      <c r="D40" s="107">
        <v>1816.42</v>
      </c>
      <c r="E40" s="107">
        <v>2.75</v>
      </c>
      <c r="F40" s="110">
        <v>12.0105</v>
      </c>
    </row>
    <row r="41" spans="1:6" ht="15" x14ac:dyDescent="0.25">
      <c r="A41" s="106">
        <v>41334</v>
      </c>
      <c r="B41" s="107">
        <v>1.91</v>
      </c>
      <c r="C41" s="107">
        <v>3.2010000000000001</v>
      </c>
      <c r="D41" s="107">
        <v>1832.2</v>
      </c>
      <c r="E41" s="107">
        <v>2.2400000000000002</v>
      </c>
      <c r="F41" s="110">
        <v>10.383800000000001</v>
      </c>
    </row>
    <row r="42" spans="1:6" ht="15" x14ac:dyDescent="0.25">
      <c r="A42" s="106">
        <v>41365</v>
      </c>
      <c r="B42" s="107">
        <v>2.02</v>
      </c>
      <c r="C42" s="107">
        <v>3.17</v>
      </c>
      <c r="D42" s="107">
        <v>1828.79</v>
      </c>
      <c r="E42" s="107">
        <v>3.84</v>
      </c>
      <c r="F42" s="110">
        <v>10.4518</v>
      </c>
    </row>
    <row r="43" spans="1:6" ht="15" x14ac:dyDescent="0.25">
      <c r="A43" s="106">
        <v>41395</v>
      </c>
      <c r="B43" s="107">
        <v>2</v>
      </c>
      <c r="C43" s="107">
        <v>3.2330000000000001</v>
      </c>
      <c r="D43" s="107">
        <v>1891.48</v>
      </c>
      <c r="E43" s="107">
        <v>3.4799999999999995</v>
      </c>
      <c r="F43" s="110">
        <v>9.8203999999999994</v>
      </c>
    </row>
    <row r="44" spans="1:6" ht="15" x14ac:dyDescent="0.25">
      <c r="A44" s="106">
        <v>41426</v>
      </c>
      <c r="B44" s="107">
        <v>2.16</v>
      </c>
      <c r="C44" s="107">
        <v>3.2370000000000001</v>
      </c>
      <c r="D44" s="107">
        <v>1929</v>
      </c>
      <c r="E44" s="107">
        <v>8.09</v>
      </c>
      <c r="F44" s="110">
        <v>9.5105000000000004</v>
      </c>
    </row>
    <row r="45" spans="1:6" ht="15" x14ac:dyDescent="0.25">
      <c r="A45" s="106">
        <v>41456</v>
      </c>
      <c r="B45" s="107">
        <v>2.2200000000000002</v>
      </c>
      <c r="C45" s="107">
        <v>3.266</v>
      </c>
      <c r="D45" s="107">
        <v>1890.33</v>
      </c>
      <c r="E45" s="107">
        <v>5.66</v>
      </c>
      <c r="F45" s="110">
        <v>10.162599999999999</v>
      </c>
    </row>
    <row r="46" spans="1:6" ht="15" x14ac:dyDescent="0.25">
      <c r="A46" s="106">
        <v>41487</v>
      </c>
      <c r="B46" s="107">
        <v>2.27</v>
      </c>
      <c r="C46" s="107">
        <v>3.2610000000000001</v>
      </c>
      <c r="D46" s="107">
        <v>1935.43</v>
      </c>
      <c r="E46" s="107">
        <v>5.7299999999999995</v>
      </c>
      <c r="F46" s="110">
        <v>9.6613000000000007</v>
      </c>
    </row>
    <row r="47" spans="1:6" ht="15" x14ac:dyDescent="0.25">
      <c r="A47" s="106">
        <v>41518</v>
      </c>
      <c r="B47" s="107">
        <v>2.27</v>
      </c>
      <c r="C47" s="107">
        <v>3.27</v>
      </c>
      <c r="D47" s="107">
        <v>1914.65</v>
      </c>
      <c r="E47" s="107">
        <v>6.34</v>
      </c>
      <c r="F47" s="110">
        <v>9.1692</v>
      </c>
    </row>
    <row r="48" spans="1:6" ht="15" x14ac:dyDescent="0.25">
      <c r="A48" s="106">
        <v>41548</v>
      </c>
      <c r="B48" s="107">
        <v>1.84</v>
      </c>
      <c r="C48" s="107">
        <v>3.274</v>
      </c>
      <c r="D48" s="107">
        <v>1884.06</v>
      </c>
      <c r="E48" s="107">
        <v>2.96</v>
      </c>
      <c r="F48" s="110">
        <v>8.1300000000000008</v>
      </c>
    </row>
    <row r="49" spans="1:6" ht="15" x14ac:dyDescent="0.25">
      <c r="A49" s="106">
        <v>41579</v>
      </c>
      <c r="B49" s="107">
        <v>1.76</v>
      </c>
      <c r="C49" s="107">
        <v>3.222</v>
      </c>
      <c r="D49" s="107">
        <v>1931.88</v>
      </c>
      <c r="E49" s="107">
        <v>6.2700000000000005</v>
      </c>
      <c r="F49" s="110">
        <v>8.6267999999999994</v>
      </c>
    </row>
    <row r="50" spans="1:6" ht="15" x14ac:dyDescent="0.25">
      <c r="A50" s="106">
        <v>41609</v>
      </c>
      <c r="B50" s="107">
        <v>1.94</v>
      </c>
      <c r="C50" s="107">
        <v>3.2490000000000001</v>
      </c>
      <c r="D50" s="107">
        <v>1926.83</v>
      </c>
      <c r="E50" s="107">
        <v>8.9700000000000006</v>
      </c>
      <c r="F50" s="110">
        <v>8.6472999999999995</v>
      </c>
    </row>
    <row r="51" spans="1:6" ht="15" x14ac:dyDescent="0.25">
      <c r="A51" s="106">
        <v>41640</v>
      </c>
      <c r="B51" s="107">
        <v>2.13</v>
      </c>
      <c r="C51" s="107">
        <v>3.2730000000000001</v>
      </c>
      <c r="D51" s="107">
        <v>2008.26</v>
      </c>
      <c r="E51" s="107">
        <v>13.25</v>
      </c>
      <c r="F51" s="110">
        <v>11.532400000000001</v>
      </c>
    </row>
    <row r="52" spans="1:6" ht="15" x14ac:dyDescent="0.25">
      <c r="A52" s="106">
        <v>41671</v>
      </c>
      <c r="B52" s="107">
        <v>2.3199999999999998</v>
      </c>
      <c r="C52" s="107">
        <v>3.278</v>
      </c>
      <c r="D52" s="107">
        <v>2054.9</v>
      </c>
      <c r="E52" s="107">
        <v>13.13</v>
      </c>
      <c r="F52" s="110">
        <v>11.0878</v>
      </c>
    </row>
    <row r="53" spans="1:6" ht="15" x14ac:dyDescent="0.25">
      <c r="A53" s="106">
        <v>41699</v>
      </c>
      <c r="B53" s="107">
        <v>2.5099999999999998</v>
      </c>
      <c r="C53" s="107">
        <v>3.254</v>
      </c>
      <c r="D53" s="107">
        <v>1965.32</v>
      </c>
      <c r="E53" s="107">
        <v>7.2700000000000005</v>
      </c>
      <c r="F53" s="110">
        <v>9.8445</v>
      </c>
    </row>
    <row r="54" spans="1:6" ht="15" x14ac:dyDescent="0.25">
      <c r="A54" s="106">
        <v>41730</v>
      </c>
      <c r="B54" s="107">
        <v>2.72</v>
      </c>
      <c r="C54" s="107">
        <v>3.722</v>
      </c>
      <c r="D54" s="107">
        <v>1935.14</v>
      </c>
      <c r="E54" s="107">
        <v>5.82</v>
      </c>
      <c r="F54" s="110">
        <v>9.3084000000000007</v>
      </c>
    </row>
    <row r="55" spans="1:6" ht="15" x14ac:dyDescent="0.25">
      <c r="A55" s="106">
        <v>41760</v>
      </c>
      <c r="B55" s="107">
        <v>2.93</v>
      </c>
      <c r="C55" s="107">
        <v>3.8719999999999999</v>
      </c>
      <c r="D55" s="107">
        <v>1900.64</v>
      </c>
      <c r="E55" s="107">
        <v>0.48</v>
      </c>
      <c r="F55" s="110">
        <v>9.0673999999999992</v>
      </c>
    </row>
    <row r="56" spans="1:6" ht="15" x14ac:dyDescent="0.25">
      <c r="A56" s="106">
        <v>41791</v>
      </c>
      <c r="B56" s="107">
        <v>2.79</v>
      </c>
      <c r="C56" s="107">
        <v>4.2530000000000001</v>
      </c>
      <c r="D56" s="107">
        <v>1881.19</v>
      </c>
      <c r="E56" s="107">
        <v>-2.48</v>
      </c>
      <c r="F56" s="110">
        <v>9.4018999999999995</v>
      </c>
    </row>
    <row r="57" spans="1:6" ht="15" x14ac:dyDescent="0.25">
      <c r="A57" s="106">
        <v>41821</v>
      </c>
      <c r="B57" s="107">
        <v>2.89</v>
      </c>
      <c r="C57" s="107">
        <v>4.351</v>
      </c>
      <c r="D57" s="107">
        <v>1872.43</v>
      </c>
      <c r="E57" s="107">
        <v>-0.95</v>
      </c>
      <c r="F57" s="110">
        <v>9.6865000000000006</v>
      </c>
    </row>
    <row r="58" spans="1:6" ht="15" x14ac:dyDescent="0.25">
      <c r="A58" s="106">
        <v>41852</v>
      </c>
      <c r="B58" s="107">
        <v>3.02</v>
      </c>
      <c r="C58" s="107">
        <v>4.484</v>
      </c>
      <c r="D58" s="107">
        <v>1918.62</v>
      </c>
      <c r="E58" s="107">
        <v>-0.86999999999999988</v>
      </c>
      <c r="F58" s="110">
        <v>9.16</v>
      </c>
    </row>
    <row r="59" spans="1:6" ht="15" x14ac:dyDescent="0.25">
      <c r="A59" s="106">
        <v>41883</v>
      </c>
      <c r="B59" s="107">
        <v>2.86</v>
      </c>
      <c r="C59" s="107">
        <v>4.5129999999999999</v>
      </c>
      <c r="D59" s="107">
        <v>2028.48</v>
      </c>
      <c r="E59" s="107">
        <v>5.95</v>
      </c>
      <c r="F59" s="110">
        <v>8.6057000000000006</v>
      </c>
    </row>
    <row r="60" spans="1:6" ht="15" x14ac:dyDescent="0.25">
      <c r="A60" s="106">
        <v>41913</v>
      </c>
      <c r="B60" s="107">
        <v>3.29</v>
      </c>
      <c r="C60" s="107">
        <v>4.5049999999999999</v>
      </c>
      <c r="D60" s="107">
        <v>2050.52</v>
      </c>
      <c r="E60" s="107">
        <v>8.8351751005806722</v>
      </c>
      <c r="F60" s="110">
        <v>8.0952999999999999</v>
      </c>
    </row>
    <row r="61" spans="1:6" ht="15" x14ac:dyDescent="0.25">
      <c r="A61" s="106">
        <v>41944</v>
      </c>
      <c r="B61" s="107">
        <v>3.65</v>
      </c>
      <c r="C61" s="107">
        <v>4.4909999999999997</v>
      </c>
      <c r="D61" s="107">
        <v>2206.19</v>
      </c>
      <c r="E61" s="107">
        <v>14.199122098681084</v>
      </c>
      <c r="F61" s="110">
        <v>8.0622000000000007</v>
      </c>
    </row>
    <row r="62" spans="1:6" ht="15" x14ac:dyDescent="0.25">
      <c r="A62" s="106">
        <v>41974</v>
      </c>
      <c r="B62" s="107">
        <v>3.66</v>
      </c>
      <c r="C62" s="107">
        <v>4.4950000000000001</v>
      </c>
      <c r="D62" s="107">
        <v>2392.46</v>
      </c>
      <c r="E62" s="107">
        <v>24.1655984181272</v>
      </c>
      <c r="F62" s="110">
        <v>9.0374999999999996</v>
      </c>
    </row>
    <row r="63" spans="1:6" ht="15" x14ac:dyDescent="0.25">
      <c r="A63" s="106">
        <v>42005</v>
      </c>
      <c r="B63" s="107">
        <v>3.82</v>
      </c>
      <c r="C63" s="107">
        <v>4.4640000000000004</v>
      </c>
      <c r="D63" s="107">
        <v>2441.1</v>
      </c>
      <c r="E63" s="107">
        <v>21.55</v>
      </c>
      <c r="F63" s="110">
        <v>11.1517</v>
      </c>
    </row>
    <row r="64" spans="1:6" ht="15" x14ac:dyDescent="0.25">
      <c r="A64" s="106">
        <v>42036</v>
      </c>
      <c r="B64" s="107">
        <v>4.3600000000000003</v>
      </c>
      <c r="C64" s="107">
        <v>4.47</v>
      </c>
      <c r="D64" s="107">
        <v>2496.9899999999998</v>
      </c>
      <c r="E64" s="107">
        <v>21.51</v>
      </c>
      <c r="F64" s="110">
        <v>10.227600000000001</v>
      </c>
    </row>
    <row r="65" spans="1:6" ht="15" x14ac:dyDescent="0.25">
      <c r="A65" s="106">
        <v>42064</v>
      </c>
      <c r="B65" s="107">
        <v>4.5599999999999996</v>
      </c>
      <c r="C65" s="107">
        <v>4.5270000000000001</v>
      </c>
      <c r="D65" s="107">
        <v>2576.0500000000002</v>
      </c>
      <c r="E65" s="107">
        <v>31.08</v>
      </c>
      <c r="F65" s="110">
        <v>9.1227999999999998</v>
      </c>
    </row>
    <row r="66" spans="1:6" ht="15" x14ac:dyDescent="0.25">
      <c r="A66" s="106">
        <v>42095</v>
      </c>
      <c r="B66" s="107">
        <v>4.6399999999999997</v>
      </c>
      <c r="C66" s="107">
        <v>4.5220000000000002</v>
      </c>
      <c r="D66" s="107">
        <v>2388.06</v>
      </c>
      <c r="E66" s="107">
        <v>23.41</v>
      </c>
      <c r="F66" s="110">
        <v>9.7372999999999994</v>
      </c>
    </row>
    <row r="67" spans="1:6" ht="15" x14ac:dyDescent="0.25">
      <c r="A67" s="106">
        <v>42125</v>
      </c>
      <c r="B67" s="107">
        <v>4.41</v>
      </c>
      <c r="C67" s="107">
        <v>4.5069999999999997</v>
      </c>
      <c r="D67" s="107">
        <v>2533.79</v>
      </c>
      <c r="E67" s="107">
        <v>33.31</v>
      </c>
      <c r="F67" s="110">
        <v>9.2216000000000005</v>
      </c>
    </row>
    <row r="68" spans="1:6" ht="15" x14ac:dyDescent="0.25">
      <c r="A68" s="106">
        <v>42156</v>
      </c>
      <c r="B68" s="107">
        <v>4.42</v>
      </c>
      <c r="C68" s="107">
        <v>4.5129999999999999</v>
      </c>
      <c r="D68" s="107">
        <v>2585.11</v>
      </c>
      <c r="E68" s="107">
        <v>37.419999999999995</v>
      </c>
      <c r="F68" s="110">
        <v>8.4986999999999995</v>
      </c>
    </row>
    <row r="69" spans="1:6" ht="15" x14ac:dyDescent="0.25">
      <c r="A69" s="106">
        <v>42186</v>
      </c>
      <c r="B69" s="107">
        <v>4.46</v>
      </c>
      <c r="C69" s="107">
        <v>4.5369999999999999</v>
      </c>
      <c r="D69" s="107">
        <v>2866.04</v>
      </c>
      <c r="E69" s="107">
        <v>53.069999999999993</v>
      </c>
      <c r="F69" s="110">
        <v>9.2236999999999991</v>
      </c>
    </row>
    <row r="70" spans="1:6" ht="15" x14ac:dyDescent="0.25">
      <c r="A70" s="106">
        <v>42217</v>
      </c>
      <c r="B70" s="107">
        <v>4.74</v>
      </c>
      <c r="C70" s="107">
        <v>4.7149999999999999</v>
      </c>
      <c r="D70" s="107">
        <v>3101.1</v>
      </c>
      <c r="E70" s="107">
        <v>61.63000000000001</v>
      </c>
      <c r="F70" s="110">
        <v>9.3035999999999994</v>
      </c>
    </row>
    <row r="71" spans="1:6" ht="15" x14ac:dyDescent="0.25">
      <c r="A71" s="106">
        <v>42248</v>
      </c>
      <c r="B71" s="107">
        <v>5.35</v>
      </c>
      <c r="C71" s="107">
        <v>4.9770000000000003</v>
      </c>
      <c r="D71" s="107">
        <v>3121.94</v>
      </c>
      <c r="E71" s="107">
        <v>53.909999999999989</v>
      </c>
      <c r="F71" s="110">
        <v>9.0681999999999992</v>
      </c>
    </row>
    <row r="72" spans="1:6" ht="15" x14ac:dyDescent="0.25">
      <c r="A72" s="106">
        <v>42278</v>
      </c>
      <c r="B72" s="107">
        <v>5.89</v>
      </c>
      <c r="C72" s="107">
        <v>5.3869999999999996</v>
      </c>
      <c r="D72" s="107">
        <v>2897.83</v>
      </c>
      <c r="E72" s="107">
        <v>41.32</v>
      </c>
      <c r="F72" s="110">
        <v>8.4384999999999994</v>
      </c>
    </row>
    <row r="73" spans="1:6" ht="15" x14ac:dyDescent="0.25">
      <c r="A73" s="106">
        <v>42309</v>
      </c>
      <c r="B73" s="107">
        <v>6.39</v>
      </c>
      <c r="C73" s="107">
        <v>5.8419999999999996</v>
      </c>
      <c r="D73" s="107">
        <v>3101.1</v>
      </c>
      <c r="E73" s="107">
        <v>40.56</v>
      </c>
      <c r="F73" s="110">
        <v>7.5631000000000004</v>
      </c>
    </row>
    <row r="74" spans="1:6" ht="15" x14ac:dyDescent="0.25">
      <c r="A74" s="106">
        <v>42339</v>
      </c>
      <c r="B74" s="107">
        <v>6.77</v>
      </c>
      <c r="C74" s="107">
        <v>6.0679999999999996</v>
      </c>
      <c r="D74" s="107">
        <v>3149.47</v>
      </c>
      <c r="E74" s="107">
        <v>31.64</v>
      </c>
      <c r="F74" s="110">
        <v>8.8226999999999993</v>
      </c>
    </row>
    <row r="75" spans="1:6" ht="15" x14ac:dyDescent="0.25">
      <c r="A75" s="106">
        <v>42370</v>
      </c>
      <c r="B75" s="107">
        <v>7.45</v>
      </c>
      <c r="C75" s="107">
        <v>6.3170000000000002</v>
      </c>
      <c r="D75" s="107">
        <v>3287.31</v>
      </c>
      <c r="E75" s="107">
        <v>34.67</v>
      </c>
      <c r="F75" s="110">
        <v>12.1784</v>
      </c>
    </row>
    <row r="76" spans="1:6" ht="15" x14ac:dyDescent="0.25">
      <c r="A76" s="106">
        <v>42401</v>
      </c>
      <c r="B76" s="107">
        <v>7.59</v>
      </c>
      <c r="C76" s="107">
        <v>6.5789999999999997</v>
      </c>
      <c r="D76" s="107">
        <v>3306</v>
      </c>
      <c r="E76" s="107">
        <v>32.4</v>
      </c>
      <c r="F76" s="110">
        <v>10.367800000000001</v>
      </c>
    </row>
    <row r="77" spans="1:6" ht="15" x14ac:dyDescent="0.25">
      <c r="A77" s="106">
        <v>42430</v>
      </c>
      <c r="B77" s="107">
        <v>7.98</v>
      </c>
      <c r="C77" s="107">
        <v>6.7229999999999999</v>
      </c>
      <c r="D77" s="107">
        <v>3022.35</v>
      </c>
      <c r="E77" s="107">
        <v>17.32</v>
      </c>
      <c r="F77" s="110">
        <v>10.464600000000001</v>
      </c>
    </row>
    <row r="78" spans="1:6" ht="15" x14ac:dyDescent="0.25">
      <c r="A78" s="106">
        <v>42461</v>
      </c>
      <c r="B78" s="107">
        <v>7.93</v>
      </c>
      <c r="C78" s="107">
        <v>6.9829999999999997</v>
      </c>
      <c r="D78" s="107">
        <v>2851.14</v>
      </c>
      <c r="E78" s="107">
        <v>19.39</v>
      </c>
      <c r="F78" s="110">
        <v>9.3194999999999997</v>
      </c>
    </row>
    <row r="79" spans="1:6" ht="15" x14ac:dyDescent="0.25">
      <c r="A79" s="106">
        <v>42491</v>
      </c>
      <c r="B79" s="107">
        <v>8.1999999999999993</v>
      </c>
      <c r="C79" s="107">
        <v>7.3789999999999996</v>
      </c>
      <c r="D79" s="107">
        <v>3069.17</v>
      </c>
      <c r="E79" s="107">
        <v>21.13</v>
      </c>
      <c r="F79" s="110">
        <v>9.2373999999999992</v>
      </c>
    </row>
    <row r="80" spans="1:6" ht="15" x14ac:dyDescent="0.25">
      <c r="A80" s="106">
        <v>42522</v>
      </c>
      <c r="B80" s="107">
        <v>8.6</v>
      </c>
      <c r="C80" s="107">
        <v>7.5389999999999997</v>
      </c>
      <c r="D80" s="107">
        <v>2916.15</v>
      </c>
      <c r="E80" s="107">
        <v>12.809999999999999</v>
      </c>
      <c r="F80" s="110">
        <v>9.19</v>
      </c>
    </row>
    <row r="81" spans="1:6" ht="15" x14ac:dyDescent="0.25">
      <c r="A81" s="106">
        <v>42552</v>
      </c>
      <c r="B81" s="107">
        <v>8.9700000000000006</v>
      </c>
      <c r="C81" s="107">
        <v>7.6909999999999998</v>
      </c>
      <c r="D81" s="107">
        <v>3081.75</v>
      </c>
      <c r="E81" s="107">
        <v>7.53</v>
      </c>
      <c r="F81" s="110">
        <v>10.2006</v>
      </c>
    </row>
    <row r="82" spans="1:6" ht="15" x14ac:dyDescent="0.25">
      <c r="A82" s="106">
        <v>42583</v>
      </c>
      <c r="B82" s="107">
        <v>8.1</v>
      </c>
      <c r="C82" s="107">
        <v>7.8239999999999998</v>
      </c>
      <c r="D82" s="107">
        <v>2933.82</v>
      </c>
      <c r="E82" s="107">
        <v>-5.39</v>
      </c>
      <c r="F82" s="110">
        <v>9.2325999999999997</v>
      </c>
    </row>
    <row r="83" spans="1:6" ht="15" x14ac:dyDescent="0.25">
      <c r="A83" s="106">
        <v>42614</v>
      </c>
      <c r="B83" s="107">
        <v>7.27</v>
      </c>
      <c r="C83" s="107">
        <v>7.7359999999999998</v>
      </c>
      <c r="D83" s="107">
        <v>2879.95</v>
      </c>
      <c r="E83" s="107">
        <v>-7.75</v>
      </c>
      <c r="F83" s="110">
        <v>8.8534000000000006</v>
      </c>
    </row>
    <row r="84" spans="1:6" ht="15" x14ac:dyDescent="0.25">
      <c r="A84" s="106">
        <v>42644</v>
      </c>
      <c r="B84" s="107">
        <v>6.48</v>
      </c>
      <c r="C84" s="107">
        <v>7.7050000000000001</v>
      </c>
      <c r="D84" s="107">
        <v>2967.66</v>
      </c>
      <c r="E84" s="107">
        <v>2.4097341804039552</v>
      </c>
      <c r="F84" s="110">
        <v>8.6280000000000001</v>
      </c>
    </row>
    <row r="85" spans="1:6" ht="15" x14ac:dyDescent="0.25">
      <c r="A85" s="106">
        <v>42675</v>
      </c>
      <c r="B85" s="107">
        <v>5.96</v>
      </c>
      <c r="C85" s="107">
        <v>7.6319999999999997</v>
      </c>
      <c r="D85" s="107">
        <v>3165.09</v>
      </c>
      <c r="E85" s="107">
        <v>2.0634613524233458</v>
      </c>
      <c r="F85" s="110">
        <v>7.7732000000000001</v>
      </c>
    </row>
    <row r="86" spans="1:6" ht="15" x14ac:dyDescent="0.25">
      <c r="A86" s="106">
        <v>42705</v>
      </c>
      <c r="B86" s="107">
        <v>5.75</v>
      </c>
      <c r="C86" s="107">
        <v>7.2039999999999997</v>
      </c>
      <c r="D86" s="107">
        <v>3000.71</v>
      </c>
      <c r="E86" s="107">
        <v>-4.7233344022962527</v>
      </c>
      <c r="F86" s="110">
        <v>9.0970999999999993</v>
      </c>
    </row>
    <row r="87" spans="1:6" ht="15" x14ac:dyDescent="0.25">
      <c r="A87" s="106">
        <v>42736</v>
      </c>
      <c r="B87" s="107">
        <v>5.47</v>
      </c>
      <c r="C87" s="107">
        <v>7.3319999999999999</v>
      </c>
      <c r="D87" s="107">
        <v>2936.66</v>
      </c>
      <c r="E87" s="107">
        <v>-10.67</v>
      </c>
      <c r="F87" s="110">
        <v>11.956899999999999</v>
      </c>
    </row>
    <row r="88" spans="1:6" ht="15" x14ac:dyDescent="0.25">
      <c r="A88" s="106">
        <v>42767</v>
      </c>
      <c r="B88" s="107">
        <v>5.18</v>
      </c>
      <c r="C88" s="107">
        <v>7.03</v>
      </c>
      <c r="D88" s="107">
        <v>2896.27</v>
      </c>
      <c r="E88" s="107">
        <v>-12.39</v>
      </c>
      <c r="F88" s="110">
        <v>10.872999999999999</v>
      </c>
    </row>
    <row r="89" spans="1:6" ht="15" x14ac:dyDescent="0.25">
      <c r="A89" s="106">
        <v>42795</v>
      </c>
      <c r="B89" s="107">
        <v>4.6900000000000004</v>
      </c>
      <c r="C89" s="107">
        <v>6.6379999999999999</v>
      </c>
      <c r="D89" s="107">
        <v>2880.24</v>
      </c>
      <c r="E89" s="107">
        <v>-4.7</v>
      </c>
      <c r="F89" s="110">
        <v>9.9046000000000003</v>
      </c>
    </row>
    <row r="90" spans="1:6" ht="15" x14ac:dyDescent="0.25">
      <c r="A90" s="106">
        <v>42826</v>
      </c>
      <c r="B90" s="107">
        <v>4.66</v>
      </c>
      <c r="C90" s="107">
        <v>6.1970000000000001</v>
      </c>
      <c r="D90" s="107">
        <v>2947.85</v>
      </c>
      <c r="E90" s="107">
        <v>3.39</v>
      </c>
      <c r="F90" s="110">
        <v>9.1358999999999995</v>
      </c>
    </row>
    <row r="91" spans="1:6" ht="15" x14ac:dyDescent="0.25">
      <c r="A91" s="106">
        <v>42856</v>
      </c>
      <c r="B91" s="107">
        <v>4.37</v>
      </c>
      <c r="C91" s="107">
        <v>5.87</v>
      </c>
      <c r="D91" s="107">
        <v>2920.42</v>
      </c>
      <c r="E91" s="107">
        <v>-4.8500000000000005</v>
      </c>
      <c r="F91" s="110">
        <v>9.8379999999999992</v>
      </c>
    </row>
    <row r="92" spans="1:6" ht="15" x14ac:dyDescent="0.25">
      <c r="A92" s="106">
        <v>42887</v>
      </c>
      <c r="B92" s="107">
        <v>3.99</v>
      </c>
      <c r="C92" s="107">
        <v>5.5039999999999996</v>
      </c>
      <c r="D92" s="107">
        <v>3038.26</v>
      </c>
      <c r="E92" s="107">
        <v>4.1900000000000004</v>
      </c>
      <c r="F92" s="110">
        <v>8.9772999999999996</v>
      </c>
    </row>
    <row r="93" spans="1:6" ht="15" x14ac:dyDescent="0.25">
      <c r="A93" s="106">
        <v>42917</v>
      </c>
      <c r="B93" s="107">
        <v>3.4</v>
      </c>
      <c r="C93" s="107">
        <v>5.3449999999999998</v>
      </c>
      <c r="D93" s="107">
        <v>2995.23</v>
      </c>
      <c r="E93" s="107">
        <v>-2.81</v>
      </c>
      <c r="F93" s="110">
        <v>9.9404000000000003</v>
      </c>
    </row>
    <row r="94" spans="1:6" ht="15" x14ac:dyDescent="0.25">
      <c r="A94" s="106">
        <v>42948</v>
      </c>
      <c r="B94" s="107">
        <v>3.87</v>
      </c>
      <c r="C94" s="107">
        <v>5.1929999999999996</v>
      </c>
      <c r="D94" s="107">
        <v>2937.09</v>
      </c>
      <c r="E94" s="107">
        <v>0.11</v>
      </c>
      <c r="F94" s="110">
        <v>9.5167999999999999</v>
      </c>
    </row>
    <row r="95" spans="1:6" ht="15" x14ac:dyDescent="0.25">
      <c r="A95" s="106">
        <v>42979</v>
      </c>
      <c r="B95" s="107">
        <v>3.97</v>
      </c>
      <c r="C95" s="107">
        <v>5.1459999999999999</v>
      </c>
      <c r="D95" s="107">
        <v>2936.67</v>
      </c>
      <c r="E95" s="107">
        <v>1.97</v>
      </c>
      <c r="F95" s="110">
        <v>9.5469000000000008</v>
      </c>
    </row>
    <row r="96" spans="1:6" ht="15" x14ac:dyDescent="0.25">
      <c r="A96" s="106">
        <v>43009</v>
      </c>
      <c r="B96" s="107">
        <v>4.05</v>
      </c>
      <c r="C96" s="107">
        <v>4.9459999999999997</v>
      </c>
      <c r="D96" s="107">
        <v>3011.44</v>
      </c>
      <c r="E96" s="107">
        <v>1.4752363815262015</v>
      </c>
      <c r="F96" s="110">
        <v>8.7399000000000004</v>
      </c>
    </row>
    <row r="97" spans="1:6" ht="15" x14ac:dyDescent="0.25">
      <c r="A97" s="106">
        <v>43040</v>
      </c>
      <c r="B97" s="107">
        <v>4.12</v>
      </c>
      <c r="C97" s="107">
        <v>4.5620000000000003</v>
      </c>
      <c r="D97" s="107">
        <v>3006.09</v>
      </c>
      <c r="E97" s="107">
        <v>-5.0235538325924427</v>
      </c>
      <c r="F97" s="110">
        <v>8.7647999999999993</v>
      </c>
    </row>
    <row r="98" spans="1:6" ht="15" x14ac:dyDescent="0.25">
      <c r="A98" s="106">
        <v>43070</v>
      </c>
      <c r="B98" s="107">
        <v>4.09</v>
      </c>
      <c r="C98" s="107">
        <v>4.6550000000000002</v>
      </c>
      <c r="D98" s="107">
        <v>2984</v>
      </c>
      <c r="E98" s="107">
        <v>-0.55686820785747493</v>
      </c>
      <c r="F98" s="110">
        <v>8.9122000000000003</v>
      </c>
    </row>
    <row r="99" spans="1:6" ht="15" x14ac:dyDescent="0.25">
      <c r="A99" s="106">
        <v>43101</v>
      </c>
      <c r="B99" s="107">
        <v>3.68</v>
      </c>
      <c r="C99" s="107">
        <v>4.4770000000000003</v>
      </c>
      <c r="D99" s="107">
        <v>2844.14</v>
      </c>
      <c r="E99" s="107">
        <v>-3.15</v>
      </c>
      <c r="F99" s="110">
        <v>12.1374</v>
      </c>
    </row>
    <row r="100" spans="1:6" ht="15" x14ac:dyDescent="0.25">
      <c r="A100" s="106">
        <v>43132</v>
      </c>
      <c r="B100" s="107">
        <v>3.37</v>
      </c>
      <c r="C100" s="107">
        <v>4.4130000000000003</v>
      </c>
      <c r="D100" s="107">
        <v>2855.93</v>
      </c>
      <c r="E100" s="107">
        <v>-1.39</v>
      </c>
      <c r="F100" s="110">
        <v>11.1882</v>
      </c>
    </row>
    <row r="101" spans="1:6" ht="15" x14ac:dyDescent="0.25">
      <c r="A101" s="106">
        <v>43160</v>
      </c>
      <c r="B101" s="107">
        <v>3.14</v>
      </c>
      <c r="C101" s="107">
        <v>4.3319999999999999</v>
      </c>
      <c r="D101" s="107">
        <v>2780.47</v>
      </c>
      <c r="E101" s="107">
        <v>-3.46</v>
      </c>
      <c r="F101" s="110">
        <v>9.7715999999999994</v>
      </c>
    </row>
    <row r="102" spans="1:6" ht="15" x14ac:dyDescent="0.25">
      <c r="A102" s="106">
        <v>43191</v>
      </c>
      <c r="B102" s="107">
        <v>3.13</v>
      </c>
      <c r="C102" s="107">
        <v>4.1980000000000004</v>
      </c>
      <c r="D102" s="107">
        <v>2806.28</v>
      </c>
      <c r="E102" s="107">
        <v>-4.8024831656970202</v>
      </c>
      <c r="F102" s="110">
        <v>9.7292000000000005</v>
      </c>
    </row>
    <row r="103" spans="1:6" ht="15" x14ac:dyDescent="0.25">
      <c r="A103" s="106">
        <v>43221</v>
      </c>
      <c r="B103" s="107">
        <v>3.16</v>
      </c>
      <c r="C103" s="107">
        <v>4.202</v>
      </c>
      <c r="D103" s="107">
        <v>2879.32</v>
      </c>
      <c r="E103" s="107">
        <v>-1.4073318221351701</v>
      </c>
      <c r="F103" s="110">
        <v>9.9794999999999998</v>
      </c>
    </row>
    <row r="104" spans="1:6" ht="15" x14ac:dyDescent="0.25">
      <c r="A104" s="106">
        <v>43252</v>
      </c>
      <c r="B104" s="107">
        <v>3.2</v>
      </c>
      <c r="C104" s="107">
        <v>4.2519999999999998</v>
      </c>
      <c r="D104" s="107">
        <v>2930.8</v>
      </c>
      <c r="E104" s="107">
        <v>-3.5368928268153499</v>
      </c>
      <c r="F104" s="110">
        <v>9.3085000000000004</v>
      </c>
    </row>
    <row r="105" spans="1:6" ht="15" x14ac:dyDescent="0.25">
      <c r="A105" s="106">
        <v>43282</v>
      </c>
      <c r="B105" s="107">
        <v>3.12</v>
      </c>
      <c r="C105" s="107">
        <v>4.2460000000000004</v>
      </c>
      <c r="D105" s="107">
        <v>2875.72</v>
      </c>
      <c r="E105" s="107">
        <v>-3.9899999999999998</v>
      </c>
      <c r="F105" s="110">
        <v>10.042299999999999</v>
      </c>
    </row>
    <row r="106" spans="1:6" ht="15" x14ac:dyDescent="0.25">
      <c r="A106" s="106">
        <v>43313</v>
      </c>
      <c r="B106" s="107">
        <v>3.1</v>
      </c>
      <c r="C106" s="107">
        <v>4.25</v>
      </c>
      <c r="D106" s="107">
        <v>3027.39</v>
      </c>
      <c r="E106" s="107">
        <v>3.0700000000000003</v>
      </c>
      <c r="F106" s="110">
        <v>9.4291999999999998</v>
      </c>
    </row>
    <row r="107" spans="1:6" ht="15" x14ac:dyDescent="0.25">
      <c r="A107" s="106">
        <v>43344</v>
      </c>
      <c r="B107" s="107">
        <v>3.23</v>
      </c>
      <c r="C107" s="107">
        <v>4.2560000000000002</v>
      </c>
      <c r="D107" s="107">
        <v>2972.18</v>
      </c>
      <c r="E107" s="107">
        <v>1.21</v>
      </c>
      <c r="F107" s="110">
        <v>9.6707000000000001</v>
      </c>
    </row>
    <row r="108" spans="1:6" ht="15" x14ac:dyDescent="0.25">
      <c r="A108" s="106">
        <v>43374</v>
      </c>
      <c r="B108" s="107">
        <v>3.33</v>
      </c>
      <c r="C108" s="107">
        <v>4.2830000000000004</v>
      </c>
      <c r="D108" s="107">
        <v>3202.44</v>
      </c>
      <c r="E108" s="107">
        <v>6.3424806736976258</v>
      </c>
      <c r="F108" s="110">
        <v>9.3614999999999995</v>
      </c>
    </row>
    <row r="109" spans="1:6" ht="15" x14ac:dyDescent="0.25">
      <c r="A109" s="106">
        <v>43405</v>
      </c>
      <c r="B109" s="107">
        <v>3.27</v>
      </c>
      <c r="C109" s="107">
        <v>4.2779999999999996</v>
      </c>
      <c r="D109" s="107">
        <v>3240.02</v>
      </c>
      <c r="E109" s="107">
        <v>7.7818694716392356</v>
      </c>
      <c r="F109" s="110">
        <v>8.9905000000000008</v>
      </c>
    </row>
    <row r="110" spans="1:6" ht="15" x14ac:dyDescent="0.25">
      <c r="A110" s="106">
        <v>43435</v>
      </c>
      <c r="B110" s="107">
        <v>3.18</v>
      </c>
      <c r="C110" s="107">
        <v>4.2670000000000003</v>
      </c>
      <c r="D110" s="107">
        <v>3249.75</v>
      </c>
      <c r="E110" s="107">
        <v>8.9058310991957157</v>
      </c>
      <c r="F110" s="110">
        <v>9.9891000000000005</v>
      </c>
    </row>
    <row r="111" spans="1:6" ht="15" x14ac:dyDescent="0.25">
      <c r="A111" s="106">
        <v>43466</v>
      </c>
      <c r="B111" s="107">
        <v>3.15</v>
      </c>
      <c r="C111" s="107">
        <v>4.2560000000000002</v>
      </c>
      <c r="D111" s="107">
        <v>3163.46</v>
      </c>
      <c r="E111" s="107">
        <v>11.23</v>
      </c>
      <c r="F111" s="110">
        <v>13.075200000000001</v>
      </c>
    </row>
    <row r="112" spans="1:6" ht="15" x14ac:dyDescent="0.25">
      <c r="A112" s="106">
        <v>43497</v>
      </c>
      <c r="B112" s="107">
        <v>3.01</v>
      </c>
      <c r="C112" s="107">
        <v>4.2649999999999997</v>
      </c>
      <c r="D112" s="107">
        <v>3072.01</v>
      </c>
      <c r="E112" s="107">
        <v>7.57</v>
      </c>
      <c r="F112" s="110">
        <v>12.092599999999999</v>
      </c>
    </row>
    <row r="113" spans="1:6" ht="15" x14ac:dyDescent="0.25">
      <c r="A113" s="106">
        <v>43525</v>
      </c>
      <c r="B113" s="107">
        <v>3.21</v>
      </c>
      <c r="C113" s="107">
        <v>4.26</v>
      </c>
      <c r="D113" s="107">
        <v>3174.79</v>
      </c>
      <c r="E113" s="107">
        <v>14.180000000000001</v>
      </c>
      <c r="F113" s="110">
        <v>11.1814</v>
      </c>
    </row>
    <row r="114" spans="1:6" ht="15" x14ac:dyDescent="0.25">
      <c r="A114" s="106">
        <v>43556</v>
      </c>
      <c r="B114" s="107">
        <v>3.25</v>
      </c>
      <c r="C114" s="107">
        <v>4.2590000000000003</v>
      </c>
      <c r="D114" s="107">
        <v>3247.72</v>
      </c>
      <c r="E114" s="107">
        <v>15.73</v>
      </c>
      <c r="F114" s="110">
        <v>10.656599999999999</v>
      </c>
    </row>
    <row r="115" spans="1:6" ht="15" x14ac:dyDescent="0.25">
      <c r="A115" s="106">
        <v>43586</v>
      </c>
      <c r="B115" s="107">
        <v>3.31</v>
      </c>
      <c r="C115" s="107">
        <v>4.2489999999999997</v>
      </c>
      <c r="D115" s="107">
        <v>3357.82</v>
      </c>
      <c r="E115" s="107">
        <v>16.619999999999997</v>
      </c>
      <c r="F115" s="110">
        <v>10.9519</v>
      </c>
    </row>
    <row r="116" spans="1:6" ht="15" x14ac:dyDescent="0.25">
      <c r="A116" s="106">
        <v>43617</v>
      </c>
      <c r="B116" s="107">
        <v>3.43</v>
      </c>
      <c r="C116" s="107">
        <v>4.2160000000000002</v>
      </c>
      <c r="D116" s="107">
        <v>3205.67</v>
      </c>
      <c r="E116" s="107">
        <v>9.379999999999999</v>
      </c>
      <c r="F116" s="110">
        <v>9.7228999999999992</v>
      </c>
    </row>
    <row r="117" spans="1:6" ht="15" x14ac:dyDescent="0.25">
      <c r="A117" s="106">
        <v>43647</v>
      </c>
      <c r="B117" s="107">
        <v>3.79</v>
      </c>
      <c r="C117" s="107">
        <v>4.2359999999999998</v>
      </c>
      <c r="D117" s="107">
        <v>3296.85</v>
      </c>
      <c r="E117" s="107">
        <v>14.64</v>
      </c>
      <c r="F117" s="110">
        <v>11.2807</v>
      </c>
    </row>
    <row r="118" spans="1:6" ht="15" x14ac:dyDescent="0.25">
      <c r="A118" s="106">
        <v>43678</v>
      </c>
      <c r="B118" s="107">
        <v>3.75</v>
      </c>
      <c r="C118" s="107">
        <v>4.2569999999999997</v>
      </c>
      <c r="D118" s="107">
        <v>3427.29</v>
      </c>
      <c r="E118" s="107">
        <v>13.209999999999999</v>
      </c>
      <c r="F118" s="110">
        <v>11.1973</v>
      </c>
    </row>
    <row r="119" spans="1:6" ht="15" x14ac:dyDescent="0.25">
      <c r="A119" s="106">
        <v>43709</v>
      </c>
      <c r="B119" s="107">
        <v>3.82</v>
      </c>
      <c r="C119" s="107">
        <v>4.25</v>
      </c>
      <c r="D119" s="107">
        <v>3462.01</v>
      </c>
      <c r="E119" s="107">
        <v>16.48</v>
      </c>
      <c r="F119" s="110">
        <v>10.8003</v>
      </c>
    </row>
    <row r="120" spans="1:6" ht="15" x14ac:dyDescent="0.25">
      <c r="A120" s="106">
        <v>43739</v>
      </c>
      <c r="B120" s="107">
        <v>3.86</v>
      </c>
      <c r="C120" s="107">
        <v>4.2629999999999999</v>
      </c>
      <c r="D120" s="107">
        <v>3389.94</v>
      </c>
      <c r="E120" s="107">
        <v>5.85</v>
      </c>
      <c r="F120" s="110">
        <v>10.1236</v>
      </c>
    </row>
    <row r="121" spans="1:6" ht="15" x14ac:dyDescent="0.25">
      <c r="A121" s="106">
        <v>43770</v>
      </c>
      <c r="B121" s="107">
        <v>3.84</v>
      </c>
      <c r="C121" s="107">
        <v>4.26</v>
      </c>
      <c r="D121" s="107">
        <v>3522.48</v>
      </c>
      <c r="E121" s="107">
        <v>8.7200000000000006</v>
      </c>
      <c r="F121" s="110">
        <v>9.6186000000000007</v>
      </c>
    </row>
    <row r="122" spans="1:6" ht="15" x14ac:dyDescent="0.25">
      <c r="A122" s="106">
        <v>43800</v>
      </c>
      <c r="B122" s="107">
        <v>3.8</v>
      </c>
      <c r="C122" s="107">
        <v>4.258</v>
      </c>
      <c r="D122" s="107">
        <v>3277.14</v>
      </c>
      <c r="E122" s="107">
        <v>0.8428340641587706</v>
      </c>
      <c r="F122" s="110">
        <v>9.9497</v>
      </c>
    </row>
    <row r="123" spans="1:6" ht="15" x14ac:dyDescent="0.25">
      <c r="A123" s="106">
        <v>43831</v>
      </c>
      <c r="B123" s="107">
        <v>3.62</v>
      </c>
      <c r="C123" s="107">
        <v>4.258</v>
      </c>
      <c r="D123" s="107">
        <v>3411.45</v>
      </c>
      <c r="E123" s="107">
        <v>7.84</v>
      </c>
      <c r="F123" s="110">
        <v>13.458500000000001</v>
      </c>
    </row>
    <row r="124" spans="1:6" ht="15" x14ac:dyDescent="0.25">
      <c r="A124" s="106">
        <v>43862</v>
      </c>
      <c r="B124" s="107">
        <v>3.72</v>
      </c>
      <c r="C124" s="107">
        <v>4.2519999999999998</v>
      </c>
      <c r="D124" s="107">
        <v>3539.86</v>
      </c>
      <c r="E124" s="107">
        <v>15.229999999999999</v>
      </c>
      <c r="F124" s="110">
        <v>12.8131</v>
      </c>
    </row>
    <row r="125" spans="1:6" ht="15" x14ac:dyDescent="0.25">
      <c r="A125" s="106">
        <v>43891</v>
      </c>
      <c r="B125" s="107">
        <v>3.86</v>
      </c>
      <c r="C125" s="107">
        <v>3.3719999999999999</v>
      </c>
      <c r="D125" s="107">
        <v>4064.81</v>
      </c>
      <c r="E125" s="107">
        <v>28.03</v>
      </c>
      <c r="F125" s="110">
        <v>13.1828</v>
      </c>
    </row>
    <row r="126" spans="1:6" ht="15" x14ac:dyDescent="0.25">
      <c r="A126" s="106">
        <v>43922</v>
      </c>
      <c r="B126" s="107">
        <v>3.51</v>
      </c>
      <c r="C126" s="107">
        <v>2.9420000000000002</v>
      </c>
      <c r="D126" s="107">
        <v>3983.29</v>
      </c>
      <c r="E126" s="107">
        <v>22.650000000000002</v>
      </c>
      <c r="F126" s="110">
        <v>20.485299999999999</v>
      </c>
    </row>
    <row r="127" spans="1:6" ht="15" x14ac:dyDescent="0.25">
      <c r="A127" s="106">
        <v>43952</v>
      </c>
      <c r="B127" s="107">
        <v>2.85</v>
      </c>
      <c r="C127" s="107">
        <v>2.548</v>
      </c>
      <c r="D127" s="107">
        <v>3718.82</v>
      </c>
      <c r="E127" s="107">
        <v>10.75</v>
      </c>
      <c r="F127" s="110">
        <v>21.972000000000001</v>
      </c>
    </row>
    <row r="128" spans="1:6" ht="15" x14ac:dyDescent="0.25">
      <c r="A128" s="106">
        <v>43983</v>
      </c>
      <c r="B128" s="107">
        <v>2.19</v>
      </c>
      <c r="C128" s="107">
        <v>2.2730000000000001</v>
      </c>
      <c r="D128" s="107">
        <v>3758.91</v>
      </c>
      <c r="E128" s="107">
        <v>17.260000000000002</v>
      </c>
      <c r="F128" s="110">
        <v>20.359100000000002</v>
      </c>
    </row>
    <row r="129" spans="1:6" ht="15" x14ac:dyDescent="0.25">
      <c r="A129" s="106">
        <v>44013</v>
      </c>
      <c r="B129" s="107">
        <v>1.97</v>
      </c>
      <c r="C129" s="107">
        <v>2.141</v>
      </c>
      <c r="D129" s="107">
        <v>3739.49</v>
      </c>
      <c r="E129" s="107">
        <v>13.43</v>
      </c>
      <c r="F129" s="110">
        <v>20.9147</v>
      </c>
    </row>
    <row r="130" spans="1:6" ht="15" x14ac:dyDescent="0.25">
      <c r="A130" s="106">
        <v>44044</v>
      </c>
      <c r="B130" s="107">
        <v>1.88</v>
      </c>
      <c r="C130" s="107">
        <v>2.0630000000000002</v>
      </c>
      <c r="D130" s="107">
        <v>3760.38</v>
      </c>
      <c r="E130" s="107">
        <v>9.7200000000000006</v>
      </c>
      <c r="F130" s="110">
        <v>17.442699999999999</v>
      </c>
    </row>
    <row r="131" spans="1:6" ht="15" x14ac:dyDescent="0.25">
      <c r="A131" s="106">
        <v>44075</v>
      </c>
      <c r="B131" s="107">
        <v>1.97</v>
      </c>
      <c r="C131" s="107">
        <v>1.7370000000000001</v>
      </c>
      <c r="D131" s="107">
        <v>3878.94</v>
      </c>
      <c r="E131" s="107">
        <v>12.04</v>
      </c>
      <c r="F131" s="110">
        <v>16.2928</v>
      </c>
    </row>
    <row r="132" spans="1:6" ht="15" x14ac:dyDescent="0.25">
      <c r="A132" s="106">
        <v>44105</v>
      </c>
      <c r="B132" s="107">
        <v>1.75</v>
      </c>
      <c r="C132" s="107">
        <v>1.7190000000000001</v>
      </c>
      <c r="D132" s="107">
        <v>3858.56</v>
      </c>
      <c r="E132" s="107">
        <v>13.819999999999999</v>
      </c>
      <c r="F132" s="110">
        <v>15.2814</v>
      </c>
    </row>
    <row r="133" spans="1:6" ht="15" x14ac:dyDescent="0.25">
      <c r="A133" s="106">
        <v>44136</v>
      </c>
      <c r="B133" s="107">
        <v>1.49</v>
      </c>
      <c r="C133" s="107">
        <v>1.748</v>
      </c>
      <c r="D133" s="107">
        <v>3611.44</v>
      </c>
      <c r="E133" s="107">
        <v>2.5299999999999998</v>
      </c>
      <c r="F133" s="110">
        <v>13.912800000000001</v>
      </c>
    </row>
    <row r="134" spans="1:6" ht="15" x14ac:dyDescent="0.25">
      <c r="A134" s="106">
        <v>44166</v>
      </c>
      <c r="B134" s="107">
        <v>1.61</v>
      </c>
      <c r="C134" s="107">
        <v>1.728</v>
      </c>
      <c r="D134" s="107">
        <v>3432.5</v>
      </c>
      <c r="E134" s="107">
        <v>4.74</v>
      </c>
      <c r="F134" s="110">
        <v>13.914199999999999</v>
      </c>
    </row>
    <row r="135" spans="1:6" ht="15" x14ac:dyDescent="0.25">
      <c r="A135" s="106">
        <v>44197</v>
      </c>
      <c r="B135" s="107">
        <v>1.6</v>
      </c>
      <c r="C135" s="107">
        <v>1.6930000000000001</v>
      </c>
      <c r="D135" s="107">
        <v>3559.46</v>
      </c>
      <c r="E135" s="107">
        <v>4.34</v>
      </c>
      <c r="F135" s="110">
        <v>17.563300000000002</v>
      </c>
    </row>
    <row r="136" spans="1:6" ht="15" x14ac:dyDescent="0.25">
      <c r="A136" s="106">
        <v>44228</v>
      </c>
      <c r="B136" s="107">
        <v>1.56</v>
      </c>
      <c r="C136" s="107">
        <v>1.728</v>
      </c>
      <c r="D136" s="107">
        <v>3624.39</v>
      </c>
      <c r="E136" s="107">
        <v>2.39</v>
      </c>
      <c r="F136" s="110">
        <v>15.5852</v>
      </c>
    </row>
    <row r="137" spans="1:6" ht="15" x14ac:dyDescent="0.25">
      <c r="A137" s="106">
        <v>44256</v>
      </c>
      <c r="B137" s="107">
        <v>1.51</v>
      </c>
      <c r="C137" s="107">
        <v>1.772</v>
      </c>
      <c r="D137" s="107">
        <v>3736.91</v>
      </c>
      <c r="E137" s="107">
        <v>-8.07</v>
      </c>
      <c r="F137" s="110">
        <v>14.7255</v>
      </c>
    </row>
    <row r="138" spans="1:6" ht="15" x14ac:dyDescent="0.25">
      <c r="A138" s="106">
        <v>44287</v>
      </c>
      <c r="B138" s="107">
        <v>1.95</v>
      </c>
      <c r="C138" s="107">
        <v>1.7450000000000001</v>
      </c>
      <c r="D138" s="107">
        <v>3712.89</v>
      </c>
      <c r="E138" s="107">
        <v>-6.79</v>
      </c>
      <c r="F138" s="110">
        <v>15.488</v>
      </c>
    </row>
    <row r="139" spans="1:6" ht="15" x14ac:dyDescent="0.25">
      <c r="A139" s="106">
        <v>44317</v>
      </c>
      <c r="B139" s="107">
        <v>3.3</v>
      </c>
      <c r="C139" s="107">
        <v>1.837</v>
      </c>
      <c r="D139" s="107">
        <v>3715.28</v>
      </c>
      <c r="E139" s="107">
        <v>-0.1</v>
      </c>
      <c r="F139" s="110">
        <v>15.2042</v>
      </c>
    </row>
    <row r="140" spans="1:6" ht="15" x14ac:dyDescent="0.25">
      <c r="A140" s="106">
        <v>44348</v>
      </c>
      <c r="B140" s="107">
        <v>3.63</v>
      </c>
      <c r="C140" s="107">
        <v>1.923</v>
      </c>
      <c r="D140" s="107">
        <v>3756.67</v>
      </c>
      <c r="E140" s="107">
        <v>-0.06</v>
      </c>
      <c r="F140" s="110">
        <v>14.646599999999999</v>
      </c>
    </row>
    <row r="141" spans="1:6" ht="15" x14ac:dyDescent="0.25">
      <c r="A141" s="106">
        <v>44378</v>
      </c>
      <c r="B141" s="107">
        <v>3.97</v>
      </c>
      <c r="C141" s="107">
        <v>1.863</v>
      </c>
      <c r="D141" s="107">
        <v>3867.88</v>
      </c>
      <c r="E141" s="107">
        <v>3.43</v>
      </c>
      <c r="F141" s="110">
        <v>13.0585</v>
      </c>
    </row>
    <row r="142" spans="1:6" ht="15" x14ac:dyDescent="0.25">
      <c r="A142" s="106">
        <v>44409</v>
      </c>
      <c r="B142" s="107">
        <v>4.4400000000000004</v>
      </c>
      <c r="C142" s="107">
        <v>2.0249999999999999</v>
      </c>
      <c r="D142" s="107">
        <v>3806.87</v>
      </c>
      <c r="E142" s="107">
        <v>1.24</v>
      </c>
      <c r="F142" s="110">
        <v>12.8614</v>
      </c>
    </row>
    <row r="143" spans="1:6" ht="15" x14ac:dyDescent="0.25">
      <c r="A143" s="106">
        <v>44440</v>
      </c>
      <c r="B143" s="107">
        <v>4.51</v>
      </c>
      <c r="C143" s="107">
        <v>2.4449999999999998</v>
      </c>
      <c r="D143" s="107">
        <v>3834.68</v>
      </c>
      <c r="E143" s="107">
        <v>-1.1399999999999999</v>
      </c>
      <c r="F143" s="110">
        <v>11.9613</v>
      </c>
    </row>
    <row r="144" spans="1:6" ht="15" x14ac:dyDescent="0.25">
      <c r="A144" s="106">
        <v>44470</v>
      </c>
      <c r="B144" s="107">
        <v>4.58</v>
      </c>
      <c r="C144" s="107">
        <v>2.6859999999999999</v>
      </c>
      <c r="D144" s="107">
        <v>3784.44</v>
      </c>
      <c r="E144" s="107">
        <v>-1.92</v>
      </c>
      <c r="F144" s="110">
        <v>11.995200000000001</v>
      </c>
    </row>
    <row r="145" spans="1:6" ht="15" x14ac:dyDescent="0.25">
      <c r="A145" s="106">
        <v>44501</v>
      </c>
      <c r="B145" s="107">
        <v>5.26</v>
      </c>
      <c r="C145" s="107">
        <v>3.0910000000000002</v>
      </c>
      <c r="D145" s="107">
        <v>4010.98</v>
      </c>
      <c r="E145" s="107">
        <v>11.06</v>
      </c>
      <c r="F145" s="110">
        <v>11.533099999999999</v>
      </c>
    </row>
    <row r="146" spans="1:6" ht="15" x14ac:dyDescent="0.25">
      <c r="A146" s="106">
        <v>44531</v>
      </c>
      <c r="B146" s="107">
        <v>5.6226713901415648</v>
      </c>
      <c r="C146" s="107">
        <v>3.5110000000000001</v>
      </c>
      <c r="D146" s="107">
        <v>3981.16</v>
      </c>
      <c r="E146" s="107">
        <v>15.98</v>
      </c>
      <c r="F146" s="110">
        <v>11.096500000000001</v>
      </c>
    </row>
    <row r="147" spans="1:6" ht="15" x14ac:dyDescent="0.25">
      <c r="A147" s="106">
        <v>44562</v>
      </c>
      <c r="B147" s="107">
        <v>6.9445991916718297</v>
      </c>
      <c r="C147" s="107">
        <v>4.3739999999999997</v>
      </c>
      <c r="D147" s="107">
        <v>3982.6</v>
      </c>
      <c r="E147" s="107">
        <v>11.887758255465709</v>
      </c>
      <c r="F147" s="110">
        <v>14.6473</v>
      </c>
    </row>
    <row r="148" spans="1:6" ht="15" x14ac:dyDescent="0.25">
      <c r="A148" s="106">
        <v>44593</v>
      </c>
      <c r="B148" s="107">
        <v>8.005195301860347</v>
      </c>
      <c r="C148" s="107">
        <v>5.2560000000000002</v>
      </c>
      <c r="D148" s="107">
        <v>3910.64</v>
      </c>
      <c r="E148" s="107">
        <v>7.8978807468291112</v>
      </c>
      <c r="F148" s="110">
        <v>12.905200000000001</v>
      </c>
    </row>
    <row r="149" spans="1:6" ht="15" x14ac:dyDescent="0.25">
      <c r="A149" s="106">
        <v>44621</v>
      </c>
      <c r="B149" s="107">
        <v>8.5278752531998681</v>
      </c>
      <c r="C149" s="107">
        <v>6.3470000000000004</v>
      </c>
      <c r="D149" s="107">
        <v>3748.15</v>
      </c>
      <c r="E149" s="107">
        <v>0.30078326745894834</v>
      </c>
      <c r="F149" s="110">
        <v>12.1212</v>
      </c>
    </row>
    <row r="150" spans="1:6" ht="15" x14ac:dyDescent="0.25">
      <c r="A150" s="106">
        <v>44652</v>
      </c>
      <c r="B150" s="107">
        <v>9.2341040422196485</v>
      </c>
      <c r="C150" s="107">
        <v>6.4589999999999996</v>
      </c>
      <c r="D150" s="107">
        <v>3966.27</v>
      </c>
      <c r="E150" s="107">
        <v>6.8243336053586345</v>
      </c>
      <c r="F150" s="110">
        <v>11.1685</v>
      </c>
    </row>
    <row r="151" spans="1:6" ht="15" x14ac:dyDescent="0.25">
      <c r="A151" s="106">
        <v>44682</v>
      </c>
      <c r="B151" s="107">
        <v>9.0667767289255288</v>
      </c>
      <c r="C151" s="107">
        <v>7.2329999999999997</v>
      </c>
      <c r="D151" s="107">
        <v>3912.34</v>
      </c>
      <c r="E151" s="107">
        <v>5.3040416873021634</v>
      </c>
      <c r="F151" s="110">
        <v>10.648300000000001</v>
      </c>
    </row>
    <row r="152" spans="1:6" ht="15" x14ac:dyDescent="0.25">
      <c r="A152" s="106">
        <v>44713</v>
      </c>
      <c r="B152" s="107">
        <v>9.6738344957970401</v>
      </c>
      <c r="C152" s="107">
        <v>8.3279999999999994</v>
      </c>
      <c r="D152" s="107">
        <v>4127.47</v>
      </c>
      <c r="E152" s="107">
        <v>9.8704437706798931</v>
      </c>
      <c r="F152" s="110">
        <v>11.261200000000001</v>
      </c>
    </row>
    <row r="153" spans="1:6" ht="15" x14ac:dyDescent="0.25">
      <c r="A153" s="106">
        <v>44743</v>
      </c>
      <c r="B153" s="107">
        <v>10.205825019961434</v>
      </c>
      <c r="C153" s="107">
        <v>9.2840000000000007</v>
      </c>
      <c r="D153" s="107">
        <v>4300.3</v>
      </c>
      <c r="E153" s="107">
        <v>11.179767728057755</v>
      </c>
      <c r="F153" s="110">
        <v>10.988899999999999</v>
      </c>
    </row>
    <row r="154" spans="1:6" ht="15" x14ac:dyDescent="0.25">
      <c r="A154" s="106">
        <v>44774</v>
      </c>
      <c r="B154" s="107">
        <v>10.835976009571645</v>
      </c>
      <c r="C154" s="107">
        <v>9.9749999999999996</v>
      </c>
      <c r="D154" s="107">
        <v>4400.16</v>
      </c>
      <c r="E154" s="107">
        <v>15.584719205016185</v>
      </c>
      <c r="F154" s="110">
        <v>10.6313</v>
      </c>
    </row>
    <row r="155" spans="1:6" ht="15" x14ac:dyDescent="0.25">
      <c r="A155" s="106">
        <v>44805</v>
      </c>
      <c r="B155" s="107">
        <v>11.439885674114514</v>
      </c>
      <c r="C155" s="107">
        <v>10.712</v>
      </c>
      <c r="D155" s="107">
        <v>4532.07</v>
      </c>
      <c r="E155" s="107">
        <v>18.186393649535294</v>
      </c>
      <c r="F155" s="110">
        <v>10.7484</v>
      </c>
    </row>
    <row r="156" spans="1:6" ht="15" x14ac:dyDescent="0.25">
      <c r="A156" s="106">
        <v>44835</v>
      </c>
      <c r="B156" s="107">
        <v>12.221753580520534</v>
      </c>
      <c r="C156" s="107">
        <v>11.454000000000001</v>
      </c>
      <c r="D156" s="107">
        <v>4819.12</v>
      </c>
      <c r="E156" s="107">
        <v>27.340372683937385</v>
      </c>
      <c r="F156" s="110">
        <v>9.7210000000000001</v>
      </c>
    </row>
    <row r="157" spans="1:6" ht="15" x14ac:dyDescent="0.25">
      <c r="A157" s="106">
        <v>44866</v>
      </c>
      <c r="B157" s="107">
        <v>12.531461584182878</v>
      </c>
      <c r="C157" s="107">
        <v>11.722</v>
      </c>
      <c r="D157" s="107">
        <v>4809.51</v>
      </c>
      <c r="E157" s="107">
        <v>19.908600890555441</v>
      </c>
      <c r="F157" s="110">
        <v>9.5007999999999999</v>
      </c>
    </row>
    <row r="158" spans="1:6" ht="15" x14ac:dyDescent="0.25">
      <c r="A158" s="106">
        <v>44896</v>
      </c>
      <c r="B158" s="107">
        <v>13.122464299463799</v>
      </c>
      <c r="C158" s="107">
        <v>12.359</v>
      </c>
      <c r="D158" s="107">
        <v>4810.2</v>
      </c>
      <c r="E158" s="107">
        <v>20.824081423504715</v>
      </c>
      <c r="F158" s="110">
        <v>10.2727</v>
      </c>
    </row>
    <row r="159" spans="1:6" ht="15" x14ac:dyDescent="0.25">
      <c r="A159" s="106">
        <v>44927</v>
      </c>
      <c r="B159" s="107">
        <v>13.251978835328559</v>
      </c>
      <c r="C159" s="107">
        <v>12.834</v>
      </c>
      <c r="D159" s="107">
        <v>4632.2</v>
      </c>
      <c r="E159" s="107">
        <v>16.310952644001397</v>
      </c>
      <c r="F159" s="110">
        <v>13.704360068</v>
      </c>
    </row>
    <row r="160" spans="1:6" ht="15" x14ac:dyDescent="0.25">
      <c r="A160" s="106">
        <v>44958</v>
      </c>
      <c r="B160" s="107">
        <v>13.279013337512403</v>
      </c>
      <c r="C160" s="107">
        <v>13.071</v>
      </c>
      <c r="D160" s="107">
        <v>4808.1400000000003</v>
      </c>
      <c r="E160" s="107">
        <v>22.950207638647392</v>
      </c>
      <c r="F160" s="110">
        <v>11.353126105999999</v>
      </c>
    </row>
    <row r="161" spans="1:6" ht="15" x14ac:dyDescent="0.25">
      <c r="A161" s="106">
        <v>44986</v>
      </c>
      <c r="B161" s="107">
        <v>13.344330593537235</v>
      </c>
      <c r="C161" s="107">
        <v>13.007</v>
      </c>
      <c r="D161" s="107">
        <v>4627.2700000000004</v>
      </c>
      <c r="E161" s="107">
        <v>23.454771020370057</v>
      </c>
      <c r="F161" s="110">
        <v>10.032543955</v>
      </c>
    </row>
    <row r="162" spans="1:6" ht="15" x14ac:dyDescent="0.25">
      <c r="A162" s="106">
        <v>45017</v>
      </c>
      <c r="B162" s="107">
        <v>12.82287174741008</v>
      </c>
      <c r="C162" s="107">
        <v>13.15</v>
      </c>
      <c r="D162" s="107">
        <v>4669</v>
      </c>
      <c r="E162" s="107">
        <v>17.717654118353021</v>
      </c>
      <c r="F162" s="110">
        <v>10.724700482999999</v>
      </c>
    </row>
    <row r="163" spans="1:6" ht="15" x14ac:dyDescent="0.25">
      <c r="A163" s="106">
        <v>45047</v>
      </c>
      <c r="B163" s="107">
        <v>12.360253381479168</v>
      </c>
      <c r="C163" s="107">
        <v>13.239000000000001</v>
      </c>
      <c r="D163" s="107">
        <v>4408.6499999999996</v>
      </c>
      <c r="E163" s="107">
        <v>12.685758395231495</v>
      </c>
      <c r="F163" s="110">
        <v>10.475099999999999</v>
      </c>
    </row>
    <row r="164" spans="1:6" ht="15" x14ac:dyDescent="0.25">
      <c r="A164" s="106">
        <v>45078</v>
      </c>
      <c r="B164" s="107">
        <v>12.129615062268439</v>
      </c>
      <c r="C164" s="107">
        <v>13.254</v>
      </c>
      <c r="D164" s="107">
        <v>4191.28</v>
      </c>
      <c r="E164" s="107">
        <v>1.545983374803428</v>
      </c>
      <c r="F164" s="110">
        <v>9.3423096210000001</v>
      </c>
    </row>
    <row r="165" spans="1:6" ht="15" x14ac:dyDescent="0.25">
      <c r="A165" s="106">
        <v>45108</v>
      </c>
      <c r="B165" s="107">
        <v>11.78</v>
      </c>
      <c r="C165" s="107">
        <v>13.112</v>
      </c>
      <c r="D165" s="107">
        <v>3923.49</v>
      </c>
      <c r="E165" s="107">
        <v>-8.762411924749447</v>
      </c>
      <c r="F165" s="110">
        <v>9.5728505639999995</v>
      </c>
    </row>
    <row r="166" spans="1:6" ht="15" x14ac:dyDescent="0.25">
      <c r="A166" s="106">
        <v>45139</v>
      </c>
      <c r="B166" s="107">
        <v>11.43</v>
      </c>
      <c r="C166" s="107">
        <v>13.111000000000001</v>
      </c>
      <c r="D166" s="107">
        <v>4085.33</v>
      </c>
      <c r="E166" s="107">
        <v>-7.1549670921057356</v>
      </c>
      <c r="F166" s="110">
        <v>9.2773719989999996</v>
      </c>
    </row>
    <row r="167" spans="1:6" ht="15" x14ac:dyDescent="0.25">
      <c r="A167" s="106">
        <v>45170</v>
      </c>
      <c r="B167" s="107">
        <v>10.99</v>
      </c>
      <c r="C167" s="107">
        <v>13.085000000000001</v>
      </c>
      <c r="D167" s="107">
        <v>4053.76</v>
      </c>
      <c r="E167" s="107">
        <v>-10.553897005121271</v>
      </c>
      <c r="F167" s="110">
        <v>9.2526741799999996</v>
      </c>
    </row>
    <row r="168" spans="1:6" ht="15" x14ac:dyDescent="0.25">
      <c r="A168" s="106">
        <v>45200</v>
      </c>
      <c r="B168" s="107">
        <v>10.48</v>
      </c>
      <c r="C168" s="107">
        <v>13.092000000000001</v>
      </c>
      <c r="D168" s="107">
        <v>4060.83</v>
      </c>
      <c r="E168" s="107">
        <v>-15.735030461993061</v>
      </c>
      <c r="F168" s="110">
        <v>9.2309123839999998</v>
      </c>
    </row>
    <row r="169" spans="1:6" ht="15" x14ac:dyDescent="0.25">
      <c r="A169" s="106">
        <v>45231</v>
      </c>
      <c r="B169" s="107">
        <v>10.15</v>
      </c>
      <c r="C169" s="107">
        <v>12.916</v>
      </c>
      <c r="D169" s="107">
        <v>3980.67</v>
      </c>
      <c r="E169" s="107">
        <v>-17.233356412607527</v>
      </c>
      <c r="F169" s="110">
        <v>9.0073861569999991</v>
      </c>
    </row>
    <row r="170" spans="1:6" ht="15" x14ac:dyDescent="0.25">
      <c r="A170" s="106">
        <v>45261</v>
      </c>
      <c r="B170" s="107">
        <v>9.2760550452018151</v>
      </c>
      <c r="C170" s="107">
        <v>12.714</v>
      </c>
      <c r="D170" s="107">
        <v>3822.05</v>
      </c>
      <c r="E170" s="107">
        <v>-20.542804872978248</v>
      </c>
      <c r="F170" s="110">
        <v>10.013717396181599</v>
      </c>
    </row>
    <row r="171" spans="1:6" ht="15" x14ac:dyDescent="0.25">
      <c r="A171" s="106">
        <v>45292</v>
      </c>
      <c r="B171" s="107">
        <v>8.3465636999175743</v>
      </c>
      <c r="C171" s="107">
        <v>12.397</v>
      </c>
      <c r="D171" s="107">
        <v>3925.6</v>
      </c>
      <c r="E171" s="107">
        <v>-15.25409092871638</v>
      </c>
      <c r="F171" s="110">
        <v>12.661635826705913</v>
      </c>
    </row>
    <row r="172" spans="1:6" ht="15" x14ac:dyDescent="0.25">
      <c r="A172" s="106">
        <v>45323</v>
      </c>
      <c r="B172" s="107">
        <v>7.7373806718130433</v>
      </c>
      <c r="C172" s="107">
        <v>12.226000000000001</v>
      </c>
      <c r="D172" s="107">
        <v>3933.56</v>
      </c>
      <c r="E172" s="107">
        <v>-18.18957018722417</v>
      </c>
      <c r="F172" s="110">
        <v>11.666144792067652</v>
      </c>
    </row>
    <row r="173" spans="1:6" ht="15" x14ac:dyDescent="0.25">
      <c r="A173" s="106">
        <v>45352</v>
      </c>
      <c r="B173" s="107">
        <v>7.3626914348644767</v>
      </c>
      <c r="C173" s="107">
        <v>11.827999999999999</v>
      </c>
      <c r="D173" s="107">
        <v>3842.3</v>
      </c>
      <c r="E173" s="107">
        <v>-16.96399821060799</v>
      </c>
      <c r="F173" s="110">
        <v>11.285719499435782</v>
      </c>
    </row>
    <row r="174" spans="1:6" ht="15" x14ac:dyDescent="0.25">
      <c r="A174" s="106">
        <v>45383</v>
      </c>
      <c r="B174" s="107">
        <v>7.163281126755483</v>
      </c>
      <c r="C174" s="107">
        <v>11.56</v>
      </c>
      <c r="D174" s="107">
        <v>3873.44</v>
      </c>
      <c r="E174" s="107">
        <v>-17.039194688370095</v>
      </c>
      <c r="F174" s="110">
        <v>10.646715730368971</v>
      </c>
    </row>
    <row r="175" spans="1:6" ht="15" x14ac:dyDescent="0.25">
      <c r="A175" s="106">
        <v>45413</v>
      </c>
      <c r="B175" s="107">
        <v>7.1569275409043343</v>
      </c>
      <c r="C175" s="107">
        <v>11.167</v>
      </c>
      <c r="D175" s="107">
        <v>3874.32</v>
      </c>
      <c r="E175" s="107">
        <v>-12.12003674594262</v>
      </c>
      <c r="F175" s="110">
        <v>10.305870827614305</v>
      </c>
    </row>
    <row r="176" spans="1:6" ht="15" x14ac:dyDescent="0.25">
      <c r="A176" s="106">
        <v>45444</v>
      </c>
      <c r="B176" s="107">
        <v>7.1824626350778464</v>
      </c>
      <c r="C176" s="107">
        <v>10.866</v>
      </c>
      <c r="D176" s="107">
        <v>4148.04</v>
      </c>
      <c r="E176" s="107">
        <v>-1.0316657441163501</v>
      </c>
      <c r="F176" s="110">
        <v>10.268590171466832</v>
      </c>
    </row>
    <row r="177" spans="1:6" ht="15" x14ac:dyDescent="0.25">
      <c r="A177" s="106">
        <v>45474</v>
      </c>
      <c r="B177" s="107">
        <v>6.8600414451028602</v>
      </c>
      <c r="C177" s="107">
        <v>10.523999999999999</v>
      </c>
      <c r="D177" s="107">
        <v>4089.05</v>
      </c>
      <c r="E177" s="107">
        <v>4.2197125518352419</v>
      </c>
      <c r="F177" s="110">
        <v>9.9181446285116568</v>
      </c>
    </row>
    <row r="178" spans="1:6" ht="15" x14ac:dyDescent="0.25">
      <c r="A178" s="106">
        <v>45505</v>
      </c>
      <c r="B178" s="107">
        <v>6.1204537923945646</v>
      </c>
      <c r="C178" s="107">
        <v>10.179</v>
      </c>
      <c r="D178" s="107">
        <v>4160.3100000000004</v>
      </c>
      <c r="E178" s="107">
        <v>1.8353474505119705</v>
      </c>
      <c r="F178" s="110">
        <v>9.6626578419937097</v>
      </c>
    </row>
    <row r="179" spans="1:6" ht="15" x14ac:dyDescent="0.25">
      <c r="A179" s="106">
        <v>45536</v>
      </c>
      <c r="B179" s="107">
        <v>5.8087765966825522</v>
      </c>
      <c r="C179" s="107">
        <v>9.7149999999999999</v>
      </c>
      <c r="D179" s="107">
        <v>4164.21</v>
      </c>
      <c r="E179" s="107">
        <v>2.7246309598989438</v>
      </c>
      <c r="F179" s="110">
        <v>9.1344769517755928</v>
      </c>
    </row>
    <row r="180" spans="1:6" ht="15" x14ac:dyDescent="0.25">
      <c r="A180" s="106">
        <v>45566</v>
      </c>
      <c r="B180" s="107">
        <v>5.4061275728907843</v>
      </c>
      <c r="C180" s="107">
        <v>9.4469999999999992</v>
      </c>
      <c r="D180" s="107">
        <v>4413.46</v>
      </c>
      <c r="E180" s="107">
        <v>8.6836927426166675</v>
      </c>
      <c r="F180" s="110">
        <v>9.1337601500858749</v>
      </c>
    </row>
    <row r="181" spans="1:6" ht="15" x14ac:dyDescent="0.25">
      <c r="A181" s="106">
        <v>45597</v>
      </c>
      <c r="B181" s="107">
        <v>5.1973577964305795</v>
      </c>
      <c r="C181" s="107">
        <v>9.25</v>
      </c>
      <c r="D181" s="107">
        <v>4419.59</v>
      </c>
      <c r="E181" s="107">
        <v>11.026284519942632</v>
      </c>
      <c r="F181" s="110">
        <v>8.1687634793625499</v>
      </c>
    </row>
    <row r="182" spans="1:6" ht="15" x14ac:dyDescent="0.25">
      <c r="A182" s="106">
        <v>45627</v>
      </c>
      <c r="B182" s="107">
        <v>5.2030659303403448</v>
      </c>
      <c r="C182" s="107">
        <v>9.3960000000000008</v>
      </c>
      <c r="D182" s="107">
        <v>4409.1499999999996</v>
      </c>
      <c r="E182" s="107">
        <v>15.36</v>
      </c>
      <c r="F182" s="110">
        <v>9.1252953803636494</v>
      </c>
    </row>
    <row r="183" spans="1:6" ht="15" x14ac:dyDescent="0.25">
      <c r="A183" s="106">
        <v>45658</v>
      </c>
      <c r="B183" s="107">
        <v>5.22298042310545</v>
      </c>
      <c r="C183" s="107">
        <v>9.2360000000000007</v>
      </c>
      <c r="D183" s="107">
        <v>4170.01</v>
      </c>
      <c r="E183" s="107">
        <v>6.2260546158549035</v>
      </c>
      <c r="F183" s="110">
        <v>11.636036642818445</v>
      </c>
    </row>
    <row r="184" spans="1:6" ht="15" x14ac:dyDescent="0.25">
      <c r="A184" s="106">
        <v>45689</v>
      </c>
      <c r="B184" s="107">
        <v>5.2765843800580248</v>
      </c>
      <c r="C184" s="107">
        <v>9.2910000000000004</v>
      </c>
      <c r="D184" s="107">
        <v>4120.1099999999997</v>
      </c>
      <c r="E184" s="107">
        <v>4.7425233122158961</v>
      </c>
      <c r="F184" s="110">
        <v>10.33046346346282</v>
      </c>
    </row>
    <row r="185" spans="1:6" ht="15" x14ac:dyDescent="0.25">
      <c r="A185" s="106">
        <v>45717</v>
      </c>
      <c r="B185" s="107">
        <v>5.08999660294156</v>
      </c>
      <c r="C185" s="107">
        <v>9.327</v>
      </c>
      <c r="D185" s="107">
        <v>4192.57</v>
      </c>
      <c r="E185" s="107">
        <v>9.1161543866954631</v>
      </c>
      <c r="F185" s="110">
        <v>9.6163686629637048</v>
      </c>
    </row>
    <row r="186" spans="1:6" ht="15" x14ac:dyDescent="0.25">
      <c r="A186" s="106">
        <v>45748</v>
      </c>
      <c r="B186" s="107">
        <v>5.1622882865170583</v>
      </c>
      <c r="C186" s="107">
        <v>9.3940000000000001</v>
      </c>
      <c r="D186" s="107">
        <v>4198.83</v>
      </c>
      <c r="E186" s="107">
        <v>8.4005431864182754</v>
      </c>
      <c r="F186" s="110">
        <v>8.7825059385890309</v>
      </c>
    </row>
    <row r="187" spans="1:6" ht="15" x14ac:dyDescent="0.25">
      <c r="A187" s="106">
        <v>45778</v>
      </c>
      <c r="B187" s="107">
        <v>5.0521050746840324</v>
      </c>
      <c r="C187" s="107">
        <v>9.1359999999999992</v>
      </c>
      <c r="D187" s="107">
        <v>4148.72</v>
      </c>
      <c r="E187" s="107">
        <v>7.0825331929216029</v>
      </c>
      <c r="F187" s="110">
        <v>9.0364158093294087</v>
      </c>
    </row>
    <row r="188" spans="1:6" ht="15" x14ac:dyDescent="0.25">
      <c r="A188" s="106">
        <v>45809</v>
      </c>
      <c r="B188" s="107">
        <v>4.8200721707341909</v>
      </c>
      <c r="C188" s="107">
        <v>9.1069999999999993</v>
      </c>
      <c r="D188" s="107">
        <v>4069.67</v>
      </c>
      <c r="E188" s="107">
        <v>-1.889326043143269</v>
      </c>
      <c r="F188" s="110">
        <v>8.5540200861558695</v>
      </c>
    </row>
    <row r="189" spans="1:6" ht="15" x14ac:dyDescent="0.25">
      <c r="A189" s="106">
        <v>45839</v>
      </c>
      <c r="B189" s="107">
        <v>4.9004634898229371</v>
      </c>
      <c r="C189" s="107">
        <v>9.0229999999999997</v>
      </c>
      <c r="D189" s="107">
        <v>4179.6899999999996</v>
      </c>
      <c r="E189" s="107">
        <v>2.2166517895354509</v>
      </c>
      <c r="F189" s="110">
        <v>8.8418118741921852</v>
      </c>
    </row>
    <row r="190" spans="1:6" ht="15" x14ac:dyDescent="0.25">
      <c r="A190" s="106">
        <v>45870</v>
      </c>
      <c r="B190" s="107">
        <v>5.0955737641477317</v>
      </c>
      <c r="C190" s="107">
        <v>9.1809999999999992</v>
      </c>
      <c r="D190" s="107">
        <v>4018.41</v>
      </c>
      <c r="E190" s="107">
        <v>-3.4108035218529564</v>
      </c>
      <c r="F190" s="110">
        <v>8.5984509167776952</v>
      </c>
    </row>
    <row r="191" spans="1:6" ht="15" x14ac:dyDescent="0.25">
      <c r="A191" s="106">
        <v>45901</v>
      </c>
      <c r="B191" s="107">
        <v>5.1767404992538735</v>
      </c>
      <c r="C191" s="107">
        <v>9.2070000000000007</v>
      </c>
      <c r="D191" s="107">
        <v>3901.29</v>
      </c>
      <c r="E191" s="107">
        <v>-6.3138026180235896</v>
      </c>
      <c r="F191" s="110">
        <v>8.1734824737352785</v>
      </c>
    </row>
    <row r="192" spans="1:6" ht="15" x14ac:dyDescent="0.25">
      <c r="A192" s="106">
        <v>45931</v>
      </c>
      <c r="B192" s="107">
        <v>5.5122302147269098</v>
      </c>
      <c r="C192" s="107">
        <v>9.2759999999999998</v>
      </c>
      <c r="D192" s="107">
        <v>3870.42</v>
      </c>
      <c r="E192" s="107">
        <v>-12.304178580977288</v>
      </c>
      <c r="F192" s="110">
        <v>8.2036728750044716</v>
      </c>
    </row>
    <row r="193" spans="1:6" ht="15" x14ac:dyDescent="0.25">
      <c r="A193" s="106">
        <v>45962</v>
      </c>
      <c r="B193" s="107">
        <v>5.3010692833363793</v>
      </c>
      <c r="C193" s="107">
        <v>9.4670000000000005</v>
      </c>
      <c r="D193" s="107">
        <v>3744.43</v>
      </c>
      <c r="E193" s="107">
        <v>-15.276530175876047</v>
      </c>
      <c r="F193" s="110">
        <v>7.0248576645484269</v>
      </c>
    </row>
    <row r="194" spans="1:6" ht="15" x14ac:dyDescent="0.25">
      <c r="A194" s="106">
        <v>45992</v>
      </c>
      <c r="B194" s="107">
        <v>5.0998826144691867</v>
      </c>
      <c r="C194" s="107">
        <v>9.8789999999999996</v>
      </c>
      <c r="D194" s="107">
        <v>3757.08</v>
      </c>
      <c r="E194" s="107">
        <v>-14.789018291507428</v>
      </c>
      <c r="F194" s="110">
        <v>7.9771036256359382</v>
      </c>
    </row>
    <row r="195" spans="1:6" ht="15" x14ac:dyDescent="0.25">
      <c r="A195" s="106">
        <v>46023</v>
      </c>
      <c r="B195" s="107">
        <v>5.3542122538293047</v>
      </c>
      <c r="C195" s="107">
        <v>10.08</v>
      </c>
      <c r="D195" s="107">
        <v>3670.47</v>
      </c>
      <c r="E195" s="107">
        <v>-11.97934777134828</v>
      </c>
      <c r="F195" s="110">
        <v>10.859452814202058</v>
      </c>
    </row>
    <row r="196" spans="1:6" ht="15" x14ac:dyDescent="0.25">
      <c r="A196" s="106">
        <v>46054</v>
      </c>
      <c r="B196" s="107">
        <v>5.2941176470588047</v>
      </c>
      <c r="C196" s="107">
        <v>11.14</v>
      </c>
      <c r="D196" s="107">
        <v>3766.3</v>
      </c>
      <c r="E196" s="107">
        <v>-8.5873920841919134</v>
      </c>
      <c r="F196" s="110">
        <v>9.234958425182727</v>
      </c>
    </row>
    <row r="197" spans="1:6" ht="15" x14ac:dyDescent="0.25">
      <c r="A197" s="106">
        <v>46082</v>
      </c>
      <c r="B197" s="107">
        <v>5.555555555555558</v>
      </c>
      <c r="C197" s="107">
        <v>11.654</v>
      </c>
      <c r="D197" s="107">
        <v>3669.96</v>
      </c>
      <c r="E197" s="107">
        <v>-12.465146676143746</v>
      </c>
      <c r="F197" s="110">
        <v>8.7933861147571992</v>
      </c>
    </row>
    <row r="198" spans="1:6" ht="15" x14ac:dyDescent="0.25">
      <c r="A198" s="106">
        <v>46113</v>
      </c>
      <c r="B198" s="107">
        <v>5.6862221034344351</v>
      </c>
      <c r="C198" s="107">
        <v>12.121</v>
      </c>
      <c r="D198" s="107">
        <v>3621.86</v>
      </c>
      <c r="E198" s="107">
        <v>-13.741208860563535</v>
      </c>
      <c r="F198" s="110">
        <v>8.7814568020438806</v>
      </c>
    </row>
    <row r="199" spans="1:6" ht="15" x14ac:dyDescent="0.25">
      <c r="A199" s="106">
        <v>46143</v>
      </c>
      <c r="B199" s="107">
        <v>5.8412148661249663</v>
      </c>
      <c r="C199" s="107">
        <v>11.909000000000001</v>
      </c>
      <c r="D199" s="107">
        <v>3678.15</v>
      </c>
      <c r="E199" s="107">
        <v>-11.342534564877848</v>
      </c>
      <c r="F199" s="110">
        <v>8.0206511267912095</v>
      </c>
    </row>
    <row r="200" spans="1:6" ht="15" x14ac:dyDescent="0.25">
      <c r="A200" s="106">
        <v>46174</v>
      </c>
      <c r="B200" s="107">
        <v>6.1410512308715859</v>
      </c>
      <c r="C200" s="107">
        <v>12.154</v>
      </c>
      <c r="D200" s="107">
        <v>3443.59</v>
      </c>
      <c r="E200" s="107">
        <v>-15.384048338071633</v>
      </c>
      <c r="F200" s="110">
        <v>8.0269262447016398</v>
      </c>
    </row>
    <row r="201" spans="1:6" ht="15" x14ac:dyDescent="0.25">
      <c r="A201" s="106">
        <v>46204</v>
      </c>
      <c r="B201" s="107">
        <v>6.0248158715413558</v>
      </c>
      <c r="C201" s="107">
        <v>12.477</v>
      </c>
      <c r="D201" s="107">
        <v>3132.42</v>
      </c>
      <c r="E201" s="107">
        <v>-25.056164452387609</v>
      </c>
      <c r="F201" s="110">
        <v>8.1045776216098808</v>
      </c>
    </row>
    <row r="202" spans="1:6" ht="15" x14ac:dyDescent="0.25">
      <c r="A202" s="106">
        <v>46235</v>
      </c>
      <c r="B202" s="107">
        <v>6.2454467183256979</v>
      </c>
      <c r="C202" s="107">
        <v>12.092000000000001</v>
      </c>
      <c r="D202" s="107">
        <v>3202.79</v>
      </c>
      <c r="E202" s="107">
        <v>-20.297082676979205</v>
      </c>
      <c r="F202" s="110">
        <v>9.3636797215898699</v>
      </c>
    </row>
    <row r="203" spans="1:6" ht="15" x14ac:dyDescent="0.25">
      <c r="A203" s="106">
        <v>46266</v>
      </c>
      <c r="B203" s="107"/>
      <c r="C203" s="107">
        <v>12.243</v>
      </c>
      <c r="D203" s="107">
        <v>3341.23</v>
      </c>
      <c r="E203" s="107">
        <v>-14.355764375373269</v>
      </c>
    </row>
  </sheetData>
  <pageMargins left="0.7" right="0.7" top="0.75" bottom="0.75" header="0.3" footer="0.3"/>
  <pageSetup orientation="portrait" r:id="rId1"/>
  <headerFooter>
    <oddFooter>&amp;C_x000D_&amp;1#&amp;"Aptos"&amp;10&amp;K000000 Classification: Bekaert Restricted Information</oddFoot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4">
    <tabColor rgb="FFFFC000"/>
  </sheetPr>
  <dimension ref="A1:C212"/>
  <sheetViews>
    <sheetView workbookViewId="0">
      <pane xSplit="1" ySplit="1" topLeftCell="B35" activePane="bottomRight" state="frozen"/>
      <selection pane="topRight"/>
      <selection pane="bottomLeft"/>
      <selection pane="bottomRight" activeCell="C53" sqref="C53"/>
    </sheetView>
  </sheetViews>
  <sheetFormatPr baseColWidth="10" defaultColWidth="11.42578125" defaultRowHeight="15" x14ac:dyDescent="0.25"/>
  <cols>
    <col min="1" max="1" width="7.140625" style="103" bestFit="1" customWidth="1"/>
    <col min="2" max="2" width="21.7109375" style="103" bestFit="1" customWidth="1"/>
    <col min="3" max="3" width="28.140625" bestFit="1" customWidth="1"/>
    <col min="4" max="16384" width="11.42578125" style="103"/>
  </cols>
  <sheetData>
    <row r="1" spans="1:2" x14ac:dyDescent="0.25">
      <c r="B1" s="104" t="s">
        <v>130</v>
      </c>
    </row>
    <row r="2" spans="1:2" x14ac:dyDescent="0.25">
      <c r="A2" s="106">
        <v>40148</v>
      </c>
      <c r="B2" s="107">
        <v>3.1798941803498875</v>
      </c>
    </row>
    <row r="3" spans="1:2" x14ac:dyDescent="0.25">
      <c r="A3" s="106">
        <v>40238</v>
      </c>
      <c r="B3" s="107">
        <v>4.1095506329670242</v>
      </c>
    </row>
    <row r="4" spans="1:2" x14ac:dyDescent="0.25">
      <c r="A4" s="106">
        <v>40330</v>
      </c>
      <c r="B4" s="107">
        <v>4.2312373958444107</v>
      </c>
    </row>
    <row r="5" spans="1:2" x14ac:dyDescent="0.25">
      <c r="A5" s="106">
        <v>40422</v>
      </c>
      <c r="B5" s="107">
        <v>4.1648683599877803</v>
      </c>
    </row>
    <row r="6" spans="1:2" x14ac:dyDescent="0.25">
      <c r="A6" s="106">
        <v>40513</v>
      </c>
      <c r="B6" s="107">
        <v>5.4527130657230822</v>
      </c>
    </row>
    <row r="7" spans="1:2" x14ac:dyDescent="0.25">
      <c r="A7" s="106">
        <v>40603</v>
      </c>
      <c r="B7" s="107">
        <v>6.483238446003563</v>
      </c>
    </row>
    <row r="8" spans="1:2" x14ac:dyDescent="0.25">
      <c r="A8" s="106">
        <v>40695</v>
      </c>
      <c r="B8" s="107">
        <v>6.9355959438457235</v>
      </c>
    </row>
    <row r="9" spans="1:2" x14ac:dyDescent="0.25">
      <c r="A9" s="106">
        <v>40787</v>
      </c>
      <c r="B9" s="107">
        <v>8.0138641961539179</v>
      </c>
    </row>
    <row r="10" spans="1:2" x14ac:dyDescent="0.25">
      <c r="A10" s="106">
        <v>40878</v>
      </c>
      <c r="B10" s="107">
        <v>6.3616253902690181</v>
      </c>
    </row>
    <row r="11" spans="1:2" x14ac:dyDescent="0.25">
      <c r="A11" s="106">
        <v>40969</v>
      </c>
      <c r="B11" s="107">
        <v>6.1618951115065297</v>
      </c>
    </row>
    <row r="12" spans="1:2" x14ac:dyDescent="0.25">
      <c r="A12" s="106">
        <v>41061</v>
      </c>
      <c r="B12" s="107">
        <v>4.6947093568785263</v>
      </c>
    </row>
    <row r="13" spans="1:2" x14ac:dyDescent="0.25">
      <c r="A13" s="106">
        <v>41153</v>
      </c>
      <c r="B13" s="107">
        <v>2.1601877253306747</v>
      </c>
    </row>
    <row r="14" spans="1:2" x14ac:dyDescent="0.25">
      <c r="A14" s="106">
        <v>41244</v>
      </c>
      <c r="B14" s="107">
        <v>2.737132588943048</v>
      </c>
    </row>
    <row r="15" spans="1:2" x14ac:dyDescent="0.25">
      <c r="A15" s="106">
        <v>41334</v>
      </c>
      <c r="B15" s="107">
        <v>2.583721256284341</v>
      </c>
    </row>
    <row r="16" spans="1:2" x14ac:dyDescent="0.25">
      <c r="A16" s="106">
        <v>41426</v>
      </c>
      <c r="B16" s="107">
        <v>5.1972393801482086</v>
      </c>
    </row>
    <row r="17" spans="1:2" x14ac:dyDescent="0.25">
      <c r="A17" s="106">
        <v>41518</v>
      </c>
      <c r="B17" s="107">
        <v>6.2859634508422859</v>
      </c>
    </row>
    <row r="18" spans="1:2" x14ac:dyDescent="0.25">
      <c r="A18" s="106">
        <v>41609</v>
      </c>
      <c r="B18" s="107">
        <v>6.4575674358233224</v>
      </c>
    </row>
    <row r="19" spans="1:2" x14ac:dyDescent="0.25">
      <c r="A19" s="106">
        <v>41699</v>
      </c>
      <c r="B19" s="107">
        <v>6.2878457385323356</v>
      </c>
    </row>
    <row r="20" spans="1:2" x14ac:dyDescent="0.25">
      <c r="A20" s="106">
        <v>41791</v>
      </c>
      <c r="B20" s="107">
        <v>3.8458965661279079</v>
      </c>
    </row>
    <row r="21" spans="1:2" x14ac:dyDescent="0.25">
      <c r="A21" s="106">
        <v>41883</v>
      </c>
      <c r="B21" s="107">
        <v>4.1917996743598041</v>
      </c>
    </row>
    <row r="22" spans="1:2" x14ac:dyDescent="0.25">
      <c r="A22" s="106">
        <v>41974</v>
      </c>
      <c r="B22" s="107">
        <v>3.7365591026118401</v>
      </c>
    </row>
    <row r="23" spans="1:2" x14ac:dyDescent="0.25">
      <c r="A23" s="106">
        <v>42064</v>
      </c>
      <c r="B23" s="107">
        <v>3.108746262725842</v>
      </c>
    </row>
    <row r="24" spans="1:2" x14ac:dyDescent="0.25">
      <c r="A24" s="106">
        <v>42156</v>
      </c>
      <c r="B24" s="107">
        <v>3.2752543989544582</v>
      </c>
    </row>
    <row r="25" spans="1:2" x14ac:dyDescent="0.25">
      <c r="A25" s="106">
        <v>42248</v>
      </c>
      <c r="B25" s="107">
        <v>3.4028809002951044</v>
      </c>
    </row>
    <row r="26" spans="1:2" x14ac:dyDescent="0.25">
      <c r="A26" s="106">
        <v>42339</v>
      </c>
      <c r="B26" s="107">
        <v>2.0501551424841598</v>
      </c>
    </row>
    <row r="27" spans="1:2" x14ac:dyDescent="0.25">
      <c r="A27" s="106">
        <v>42430</v>
      </c>
      <c r="B27" s="107">
        <v>2.7221379348244401</v>
      </c>
    </row>
    <row r="28" spans="1:2" x14ac:dyDescent="0.25">
      <c r="A28" s="106">
        <v>42522</v>
      </c>
      <c r="B28" s="107">
        <v>1.9578447784509074</v>
      </c>
    </row>
    <row r="29" spans="1:2" x14ac:dyDescent="0.25">
      <c r="A29" s="106">
        <v>42614</v>
      </c>
      <c r="B29" s="107">
        <v>1.3731974081435443</v>
      </c>
    </row>
    <row r="30" spans="1:2" x14ac:dyDescent="0.25">
      <c r="A30" s="106">
        <v>42705</v>
      </c>
      <c r="B30" s="107">
        <v>2.3061919043535881</v>
      </c>
    </row>
    <row r="31" spans="1:2" x14ac:dyDescent="0.25">
      <c r="A31" s="106">
        <v>42795</v>
      </c>
      <c r="B31" s="107">
        <v>0.85860790120022268</v>
      </c>
    </row>
    <row r="32" spans="1:2" x14ac:dyDescent="0.25">
      <c r="A32" s="106">
        <v>42887</v>
      </c>
      <c r="B32" s="107">
        <v>1.6294581038596656</v>
      </c>
    </row>
    <row r="33" spans="1:2" x14ac:dyDescent="0.25">
      <c r="A33" s="106">
        <v>42979</v>
      </c>
      <c r="B33" s="107">
        <v>1.5630656933697356</v>
      </c>
    </row>
    <row r="34" spans="1:2" x14ac:dyDescent="0.25">
      <c r="A34" s="106">
        <v>43070</v>
      </c>
      <c r="B34" s="107">
        <v>1.3857116136597794</v>
      </c>
    </row>
    <row r="35" spans="1:2" x14ac:dyDescent="0.25">
      <c r="A35" s="106">
        <v>43160</v>
      </c>
      <c r="B35" s="107">
        <v>2.1862786885274126</v>
      </c>
    </row>
    <row r="36" spans="1:2" x14ac:dyDescent="0.25">
      <c r="A36" s="106">
        <v>43252</v>
      </c>
      <c r="B36" s="107">
        <v>2.3347857161727976</v>
      </c>
    </row>
    <row r="37" spans="1:2" x14ac:dyDescent="0.25">
      <c r="A37" s="106">
        <v>43344</v>
      </c>
      <c r="B37" s="107">
        <v>2.8349671671548902</v>
      </c>
    </row>
    <row r="38" spans="1:2" x14ac:dyDescent="0.25">
      <c r="A38" s="106">
        <v>43435</v>
      </c>
      <c r="B38" s="107">
        <v>2.8954213912886027</v>
      </c>
    </row>
    <row r="39" spans="1:2" x14ac:dyDescent="0.25">
      <c r="A39" s="106">
        <v>43525</v>
      </c>
      <c r="B39" s="107">
        <v>3.1838652386427393</v>
      </c>
    </row>
    <row r="40" spans="1:2" x14ac:dyDescent="0.25">
      <c r="A40" s="106">
        <v>43617</v>
      </c>
      <c r="B40" s="107">
        <v>3.3924864787004889</v>
      </c>
    </row>
    <row r="41" spans="1:2" x14ac:dyDescent="0.25">
      <c r="A41" s="106">
        <v>43709</v>
      </c>
      <c r="B41" s="107">
        <v>3.0946033830063264</v>
      </c>
    </row>
    <row r="42" spans="1:2" x14ac:dyDescent="0.25">
      <c r="A42" s="106">
        <v>43800</v>
      </c>
      <c r="B42" s="107">
        <v>3.078602875485406</v>
      </c>
    </row>
    <row r="43" spans="1:2" x14ac:dyDescent="0.25">
      <c r="A43" s="106">
        <v>43891</v>
      </c>
      <c r="B43" s="107">
        <v>0.31947815843471655</v>
      </c>
    </row>
    <row r="44" spans="1:2" x14ac:dyDescent="0.25">
      <c r="A44" s="106">
        <v>43983</v>
      </c>
      <c r="B44" s="107">
        <v>-16.740150572624632</v>
      </c>
    </row>
    <row r="45" spans="1:2" x14ac:dyDescent="0.25">
      <c r="A45" s="106">
        <v>44075</v>
      </c>
      <c r="B45" s="107">
        <v>-9.0189546192286905</v>
      </c>
    </row>
    <row r="46" spans="1:2" x14ac:dyDescent="0.25">
      <c r="A46" s="106">
        <v>44166</v>
      </c>
      <c r="B46" s="107">
        <v>-3.2567754541874967</v>
      </c>
    </row>
    <row r="47" spans="1:2" x14ac:dyDescent="0.25">
      <c r="A47" s="106">
        <v>44256</v>
      </c>
      <c r="B47" s="107">
        <v>1.7776415497452007</v>
      </c>
    </row>
    <row r="48" spans="1:2" x14ac:dyDescent="0.25">
      <c r="A48" s="106">
        <v>44348</v>
      </c>
      <c r="B48" s="107">
        <v>18.269267322537821</v>
      </c>
    </row>
    <row r="49" spans="1:2" x14ac:dyDescent="0.25">
      <c r="A49" s="106">
        <v>44440</v>
      </c>
      <c r="B49" s="107">
        <v>13.522200522313035</v>
      </c>
    </row>
    <row r="50" spans="1:2" x14ac:dyDescent="0.25">
      <c r="A50" s="106">
        <v>44531</v>
      </c>
      <c r="B50" s="107">
        <v>11.061702362366745</v>
      </c>
    </row>
    <row r="51" spans="1:2" x14ac:dyDescent="0.25">
      <c r="A51" s="106">
        <v>44621</v>
      </c>
      <c r="B51" s="107">
        <v>7.6790433645437552</v>
      </c>
    </row>
    <row r="52" spans="1:2" x14ac:dyDescent="0.25">
      <c r="A52" s="106">
        <v>44713</v>
      </c>
      <c r="B52" s="107">
        <v>12.549059818293948</v>
      </c>
    </row>
    <row r="53" spans="1:2" x14ac:dyDescent="0.25">
      <c r="A53" s="106">
        <v>44805</v>
      </c>
      <c r="B53" s="107">
        <v>7.3699155471282625</v>
      </c>
    </row>
    <row r="54" spans="1:2" x14ac:dyDescent="0.25">
      <c r="A54" s="105">
        <v>44896</v>
      </c>
      <c r="B54" s="105">
        <v>2.2228250788833224</v>
      </c>
    </row>
    <row r="55" spans="1:2" x14ac:dyDescent="0.25">
      <c r="A55" s="105">
        <v>44986</v>
      </c>
      <c r="B55" s="105">
        <v>2.674944025625539</v>
      </c>
    </row>
    <row r="56" spans="1:2" x14ac:dyDescent="0.25">
      <c r="A56" s="105">
        <v>45078</v>
      </c>
      <c r="B56" s="105">
        <v>0.43905595868866759</v>
      </c>
    </row>
    <row r="57" spans="1:2" x14ac:dyDescent="0.25">
      <c r="A57" s="105">
        <v>45170</v>
      </c>
      <c r="B57" s="105">
        <v>-0.38501206832535828</v>
      </c>
    </row>
    <row r="58" spans="1:2" x14ac:dyDescent="0.25">
      <c r="A58" s="105">
        <v>45261</v>
      </c>
      <c r="B58" s="105">
        <v>0.67878523466029617</v>
      </c>
    </row>
    <row r="59" spans="1:2" x14ac:dyDescent="0.25">
      <c r="A59" s="105">
        <v>45352</v>
      </c>
      <c r="B59" s="105">
        <v>0.55915009126959747</v>
      </c>
    </row>
    <row r="60" spans="1:2" x14ac:dyDescent="0.25">
      <c r="A60" s="105">
        <v>45444</v>
      </c>
      <c r="B60" s="105">
        <v>1.2059714801297097</v>
      </c>
    </row>
    <row r="61" spans="1:2" x14ac:dyDescent="0.25">
      <c r="A61" s="105">
        <v>45536</v>
      </c>
      <c r="B61" s="105">
        <v>1.6354453943640115</v>
      </c>
    </row>
    <row r="62" spans="1:2" x14ac:dyDescent="0.25">
      <c r="A62" s="105">
        <v>45627</v>
      </c>
      <c r="B62" s="105">
        <v>2.5733746647533331</v>
      </c>
    </row>
    <row r="63" spans="1:2" x14ac:dyDescent="0.25">
      <c r="A63" s="105">
        <v>45717</v>
      </c>
      <c r="B63" s="105">
        <v>2.1968992188072485</v>
      </c>
    </row>
    <row r="64" spans="1:2" x14ac:dyDescent="0.25">
      <c r="A64" s="105">
        <v>45809</v>
      </c>
      <c r="B64" s="105">
        <v>2.28250327285433</v>
      </c>
    </row>
    <row r="65" spans="1:2" x14ac:dyDescent="0.25">
      <c r="A65" s="105">
        <v>45901</v>
      </c>
      <c r="B65" s="105">
        <v>3.7804902823799349</v>
      </c>
    </row>
    <row r="66" spans="1:2" x14ac:dyDescent="0.25">
      <c r="A66" s="105">
        <v>45992</v>
      </c>
      <c r="B66" s="105">
        <v>2.0251775663378231</v>
      </c>
    </row>
    <row r="67" spans="1:2" x14ac:dyDescent="0.25">
      <c r="A67" s="105">
        <v>46082</v>
      </c>
      <c r="B67" s="105">
        <v>2.3930134147764233</v>
      </c>
    </row>
    <row r="68" spans="1:2" x14ac:dyDescent="0.25">
      <c r="A68" s="105">
        <v>46174</v>
      </c>
      <c r="B68" s="105">
        <v>3.366898924540525</v>
      </c>
    </row>
    <row r="69" spans="1:2" x14ac:dyDescent="0.25">
      <c r="A69" s="105"/>
      <c r="B69" s="105"/>
    </row>
    <row r="70" spans="1:2" x14ac:dyDescent="0.25">
      <c r="A70" s="105"/>
      <c r="B70" s="105"/>
    </row>
    <row r="71" spans="1:2" x14ac:dyDescent="0.25">
      <c r="A71" s="105"/>
      <c r="B71" s="105"/>
    </row>
    <row r="72" spans="1:2" x14ac:dyDescent="0.25">
      <c r="A72" s="105"/>
      <c r="B72" s="105"/>
    </row>
    <row r="73" spans="1:2" x14ac:dyDescent="0.25">
      <c r="A73" s="105"/>
      <c r="B73" s="105"/>
    </row>
    <row r="74" spans="1:2" x14ac:dyDescent="0.25">
      <c r="A74" s="105"/>
      <c r="B74" s="105"/>
    </row>
    <row r="75" spans="1:2" x14ac:dyDescent="0.25">
      <c r="A75" s="105"/>
      <c r="B75" s="105"/>
    </row>
    <row r="76" spans="1:2" x14ac:dyDescent="0.25">
      <c r="A76" s="105"/>
      <c r="B76" s="105"/>
    </row>
    <row r="77" spans="1:2" x14ac:dyDescent="0.25">
      <c r="A77" s="105"/>
      <c r="B77" s="105"/>
    </row>
    <row r="78" spans="1:2" x14ac:dyDescent="0.25">
      <c r="A78" s="105"/>
      <c r="B78" s="105"/>
    </row>
    <row r="79" spans="1:2" x14ac:dyDescent="0.25">
      <c r="A79" s="105"/>
      <c r="B79" s="105"/>
    </row>
    <row r="80" spans="1:2" x14ac:dyDescent="0.25">
      <c r="A80" s="105"/>
      <c r="B80" s="105"/>
    </row>
    <row r="81" spans="1:2" x14ac:dyDescent="0.25">
      <c r="A81" s="105"/>
      <c r="B81" s="105"/>
    </row>
    <row r="82" spans="1:2" x14ac:dyDescent="0.25">
      <c r="A82" s="105"/>
      <c r="B82" s="105"/>
    </row>
    <row r="83" spans="1:2" x14ac:dyDescent="0.25">
      <c r="A83" s="105"/>
      <c r="B83" s="105"/>
    </row>
    <row r="84" spans="1:2" x14ac:dyDescent="0.25">
      <c r="A84" s="105"/>
      <c r="B84" s="105"/>
    </row>
    <row r="85" spans="1:2" x14ac:dyDescent="0.25">
      <c r="A85" s="105"/>
      <c r="B85" s="105"/>
    </row>
    <row r="86" spans="1:2" x14ac:dyDescent="0.25">
      <c r="A86" s="105"/>
      <c r="B86" s="105"/>
    </row>
    <row r="87" spans="1:2" x14ac:dyDescent="0.25">
      <c r="A87" s="105"/>
      <c r="B87" s="105"/>
    </row>
    <row r="88" spans="1:2" x14ac:dyDescent="0.25">
      <c r="A88" s="105"/>
      <c r="B88" s="105"/>
    </row>
    <row r="89" spans="1:2" x14ac:dyDescent="0.25">
      <c r="A89" s="105"/>
      <c r="B89" s="105"/>
    </row>
    <row r="90" spans="1:2" x14ac:dyDescent="0.25">
      <c r="A90" s="105"/>
      <c r="B90" s="105"/>
    </row>
    <row r="91" spans="1:2" x14ac:dyDescent="0.25">
      <c r="A91" s="105"/>
      <c r="B91" s="105"/>
    </row>
    <row r="92" spans="1:2" x14ac:dyDescent="0.25">
      <c r="A92" s="105"/>
      <c r="B92" s="105"/>
    </row>
    <row r="93" spans="1:2" x14ac:dyDescent="0.25">
      <c r="A93" s="105"/>
      <c r="B93" s="105"/>
    </row>
    <row r="94" spans="1:2" x14ac:dyDescent="0.25">
      <c r="A94" s="105"/>
      <c r="B94" s="105"/>
    </row>
    <row r="95" spans="1:2" x14ac:dyDescent="0.25">
      <c r="A95" s="105"/>
      <c r="B95" s="105"/>
    </row>
    <row r="96" spans="1:2" x14ac:dyDescent="0.25">
      <c r="A96" s="105"/>
      <c r="B96" s="105"/>
    </row>
    <row r="97" spans="1:2" x14ac:dyDescent="0.25">
      <c r="A97" s="105"/>
      <c r="B97" s="105"/>
    </row>
    <row r="98" spans="1:2" x14ac:dyDescent="0.25">
      <c r="A98" s="105"/>
      <c r="B98" s="105"/>
    </row>
    <row r="99" spans="1:2" x14ac:dyDescent="0.25">
      <c r="A99" s="105"/>
      <c r="B99" s="105"/>
    </row>
    <row r="100" spans="1:2" x14ac:dyDescent="0.25">
      <c r="A100" s="105"/>
      <c r="B100" s="105"/>
    </row>
    <row r="101" spans="1:2" x14ac:dyDescent="0.25">
      <c r="A101" s="105"/>
      <c r="B101" s="105"/>
    </row>
    <row r="102" spans="1:2" x14ac:dyDescent="0.25">
      <c r="A102" s="105"/>
      <c r="B102" s="105"/>
    </row>
    <row r="103" spans="1:2" x14ac:dyDescent="0.25">
      <c r="A103" s="105"/>
      <c r="B103" s="105"/>
    </row>
    <row r="104" spans="1:2" x14ac:dyDescent="0.25">
      <c r="A104" s="105"/>
      <c r="B104" s="105"/>
    </row>
    <row r="105" spans="1:2" x14ac:dyDescent="0.25">
      <c r="A105" s="105"/>
      <c r="B105" s="105"/>
    </row>
    <row r="106" spans="1:2" x14ac:dyDescent="0.25">
      <c r="A106" s="105"/>
      <c r="B106" s="105"/>
    </row>
    <row r="107" spans="1:2" x14ac:dyDescent="0.25">
      <c r="A107" s="105"/>
      <c r="B107" s="105"/>
    </row>
    <row r="108" spans="1:2" x14ac:dyDescent="0.25">
      <c r="A108" s="105"/>
      <c r="B108" s="105"/>
    </row>
    <row r="109" spans="1:2" x14ac:dyDescent="0.25">
      <c r="A109" s="105"/>
      <c r="B109" s="105"/>
    </row>
    <row r="110" spans="1:2" x14ac:dyDescent="0.25">
      <c r="A110" s="105"/>
      <c r="B110" s="105"/>
    </row>
    <row r="111" spans="1:2" x14ac:dyDescent="0.25">
      <c r="A111" s="105"/>
      <c r="B111" s="105"/>
    </row>
    <row r="112" spans="1:2" x14ac:dyDescent="0.25">
      <c r="A112" s="105"/>
      <c r="B112" s="105"/>
    </row>
    <row r="113" spans="1:2" x14ac:dyDescent="0.25">
      <c r="A113" s="105"/>
      <c r="B113" s="105"/>
    </row>
    <row r="114" spans="1:2" x14ac:dyDescent="0.25">
      <c r="A114" s="105"/>
      <c r="B114" s="105"/>
    </row>
    <row r="115" spans="1:2" x14ac:dyDescent="0.25">
      <c r="A115" s="105"/>
      <c r="B115" s="105"/>
    </row>
    <row r="116" spans="1:2" x14ac:dyDescent="0.25">
      <c r="A116" s="105"/>
      <c r="B116" s="105"/>
    </row>
    <row r="117" spans="1:2" x14ac:dyDescent="0.25">
      <c r="A117" s="105"/>
      <c r="B117" s="105"/>
    </row>
    <row r="118" spans="1:2" x14ac:dyDescent="0.25">
      <c r="A118" s="105"/>
      <c r="B118" s="105"/>
    </row>
    <row r="119" spans="1:2" x14ac:dyDescent="0.25">
      <c r="A119" s="105"/>
      <c r="B119" s="105"/>
    </row>
    <row r="120" spans="1:2" x14ac:dyDescent="0.25">
      <c r="A120" s="105"/>
      <c r="B120" s="105"/>
    </row>
    <row r="121" spans="1:2" x14ac:dyDescent="0.25">
      <c r="A121" s="105"/>
      <c r="B121" s="105"/>
    </row>
    <row r="122" spans="1:2" x14ac:dyDescent="0.25">
      <c r="A122" s="105"/>
      <c r="B122" s="105"/>
    </row>
    <row r="123" spans="1:2" x14ac:dyDescent="0.25">
      <c r="A123" s="105"/>
      <c r="B123" s="105"/>
    </row>
    <row r="124" spans="1:2" x14ac:dyDescent="0.25">
      <c r="A124" s="105"/>
      <c r="B124" s="105"/>
    </row>
    <row r="125" spans="1:2" x14ac:dyDescent="0.25">
      <c r="A125" s="105"/>
      <c r="B125" s="105"/>
    </row>
    <row r="126" spans="1:2" x14ac:dyDescent="0.25">
      <c r="A126" s="105"/>
      <c r="B126" s="105"/>
    </row>
    <row r="127" spans="1:2" x14ac:dyDescent="0.25">
      <c r="A127" s="105"/>
      <c r="B127" s="105"/>
    </row>
    <row r="128" spans="1:2" x14ac:dyDescent="0.25">
      <c r="A128" s="105"/>
      <c r="B128" s="105"/>
    </row>
    <row r="129" spans="1:2" x14ac:dyDescent="0.25">
      <c r="A129" s="105"/>
      <c r="B129" s="105"/>
    </row>
    <row r="130" spans="1:2" x14ac:dyDescent="0.25">
      <c r="A130" s="105"/>
      <c r="B130" s="105"/>
    </row>
    <row r="131" spans="1:2" x14ac:dyDescent="0.25">
      <c r="A131" s="105"/>
      <c r="B131" s="105"/>
    </row>
    <row r="132" spans="1:2" x14ac:dyDescent="0.25">
      <c r="A132" s="105"/>
      <c r="B132" s="105"/>
    </row>
    <row r="133" spans="1:2" x14ac:dyDescent="0.25">
      <c r="A133" s="105"/>
      <c r="B133" s="105"/>
    </row>
    <row r="134" spans="1:2" x14ac:dyDescent="0.25">
      <c r="A134" s="105"/>
      <c r="B134" s="105"/>
    </row>
    <row r="135" spans="1:2" x14ac:dyDescent="0.25">
      <c r="A135" s="105"/>
      <c r="B135" s="105"/>
    </row>
    <row r="136" spans="1:2" x14ac:dyDescent="0.25">
      <c r="A136" s="105"/>
      <c r="B136" s="105"/>
    </row>
    <row r="137" spans="1:2" x14ac:dyDescent="0.25">
      <c r="A137" s="105"/>
      <c r="B137" s="105"/>
    </row>
    <row r="138" spans="1:2" x14ac:dyDescent="0.25">
      <c r="A138" s="105"/>
      <c r="B138" s="105"/>
    </row>
    <row r="139" spans="1:2" x14ac:dyDescent="0.25">
      <c r="A139" s="105"/>
      <c r="B139" s="105"/>
    </row>
    <row r="140" spans="1:2" x14ac:dyDescent="0.25">
      <c r="A140" s="105"/>
      <c r="B140" s="105"/>
    </row>
    <row r="141" spans="1:2" x14ac:dyDescent="0.25">
      <c r="A141" s="105"/>
      <c r="B141" s="105"/>
    </row>
    <row r="142" spans="1:2" x14ac:dyDescent="0.25">
      <c r="A142" s="105"/>
      <c r="B142" s="105"/>
    </row>
    <row r="143" spans="1:2" x14ac:dyDescent="0.25">
      <c r="A143" s="105"/>
      <c r="B143" s="105"/>
    </row>
    <row r="144" spans="1:2" x14ac:dyDescent="0.25">
      <c r="A144" s="108"/>
      <c r="B144" s="109"/>
    </row>
    <row r="145" spans="1:2" x14ac:dyDescent="0.25">
      <c r="A145" s="108"/>
      <c r="B145" s="109"/>
    </row>
    <row r="146" spans="1:2" x14ac:dyDescent="0.25">
      <c r="A146" s="108"/>
      <c r="B146" s="109"/>
    </row>
    <row r="147" spans="1:2" x14ac:dyDescent="0.25">
      <c r="A147" s="108"/>
      <c r="B147" s="109"/>
    </row>
    <row r="148" spans="1:2" x14ac:dyDescent="0.25">
      <c r="A148" s="108"/>
      <c r="B148" s="109"/>
    </row>
    <row r="149" spans="1:2" x14ac:dyDescent="0.25">
      <c r="A149" s="108"/>
      <c r="B149" s="109"/>
    </row>
    <row r="150" spans="1:2" x14ac:dyDescent="0.25">
      <c r="A150" s="105"/>
      <c r="B150" s="105"/>
    </row>
    <row r="151" spans="1:2" x14ac:dyDescent="0.25">
      <c r="A151" s="105"/>
      <c r="B151" s="105"/>
    </row>
    <row r="152" spans="1:2" x14ac:dyDescent="0.25">
      <c r="A152" s="105"/>
      <c r="B152" s="105"/>
    </row>
    <row r="153" spans="1:2" x14ac:dyDescent="0.25">
      <c r="A153" s="105"/>
      <c r="B153" s="105"/>
    </row>
    <row r="154" spans="1:2" x14ac:dyDescent="0.25">
      <c r="A154" s="105"/>
      <c r="B154" s="105"/>
    </row>
    <row r="155" spans="1:2" x14ac:dyDescent="0.25">
      <c r="A155" s="105"/>
      <c r="B155" s="105"/>
    </row>
    <row r="156" spans="1:2" x14ac:dyDescent="0.25">
      <c r="A156" s="105"/>
      <c r="B156" s="105"/>
    </row>
    <row r="157" spans="1:2" x14ac:dyDescent="0.25">
      <c r="A157" s="105"/>
      <c r="B157" s="105"/>
    </row>
    <row r="158" spans="1:2" x14ac:dyDescent="0.25">
      <c r="A158" s="105"/>
      <c r="B158" s="105"/>
    </row>
    <row r="159" spans="1:2" x14ac:dyDescent="0.25">
      <c r="A159" s="105"/>
      <c r="B159" s="105"/>
    </row>
    <row r="160" spans="1:2" x14ac:dyDescent="0.25">
      <c r="A160" s="105"/>
      <c r="B160" s="105"/>
    </row>
    <row r="161" spans="1:2" x14ac:dyDescent="0.25">
      <c r="A161" s="105"/>
      <c r="B161" s="105"/>
    </row>
    <row r="162" spans="1:2" x14ac:dyDescent="0.25">
      <c r="A162" s="105"/>
      <c r="B162" s="105"/>
    </row>
    <row r="163" spans="1:2" x14ac:dyDescent="0.25">
      <c r="A163" s="105"/>
      <c r="B163" s="105"/>
    </row>
    <row r="164" spans="1:2" x14ac:dyDescent="0.25">
      <c r="A164" s="105"/>
      <c r="B164" s="105"/>
    </row>
    <row r="165" spans="1:2" x14ac:dyDescent="0.25">
      <c r="A165" s="105"/>
      <c r="B165" s="105"/>
    </row>
    <row r="166" spans="1:2" x14ac:dyDescent="0.25">
      <c r="A166" s="105"/>
      <c r="B166" s="105"/>
    </row>
    <row r="167" spans="1:2" x14ac:dyDescent="0.25">
      <c r="A167" s="105"/>
      <c r="B167" s="105"/>
    </row>
    <row r="168" spans="1:2" x14ac:dyDescent="0.25">
      <c r="A168" s="105"/>
      <c r="B168" s="105"/>
    </row>
    <row r="169" spans="1:2" x14ac:dyDescent="0.25">
      <c r="A169" s="105"/>
      <c r="B169" s="105"/>
    </row>
    <row r="170" spans="1:2" x14ac:dyDescent="0.25">
      <c r="A170" s="105"/>
      <c r="B170" s="105"/>
    </row>
    <row r="171" spans="1:2" x14ac:dyDescent="0.25">
      <c r="A171" s="105"/>
      <c r="B171" s="105"/>
    </row>
    <row r="172" spans="1:2" x14ac:dyDescent="0.25">
      <c r="A172" s="105"/>
      <c r="B172" s="105"/>
    </row>
    <row r="173" spans="1:2" x14ac:dyDescent="0.25">
      <c r="A173" s="105"/>
      <c r="B173" s="105"/>
    </row>
    <row r="174" spans="1:2" x14ac:dyDescent="0.25">
      <c r="A174" s="105"/>
      <c r="B174" s="105"/>
    </row>
    <row r="175" spans="1:2" x14ac:dyDescent="0.25">
      <c r="A175" s="105"/>
      <c r="B175" s="105"/>
    </row>
    <row r="176" spans="1:2" x14ac:dyDescent="0.25">
      <c r="A176" s="105"/>
      <c r="B176" s="105"/>
    </row>
    <row r="177" spans="1:2" x14ac:dyDescent="0.25">
      <c r="A177" s="105"/>
      <c r="B177" s="105"/>
    </row>
    <row r="178" spans="1:2" x14ac:dyDescent="0.25">
      <c r="A178" s="105"/>
      <c r="B178" s="105"/>
    </row>
    <row r="179" spans="1:2" x14ac:dyDescent="0.25">
      <c r="A179" s="105"/>
      <c r="B179" s="105"/>
    </row>
    <row r="180" spans="1:2" x14ac:dyDescent="0.25">
      <c r="A180" s="105"/>
      <c r="B180" s="105"/>
    </row>
    <row r="181" spans="1:2" x14ac:dyDescent="0.25">
      <c r="A181" s="105"/>
      <c r="B181" s="105"/>
    </row>
    <row r="182" spans="1:2" x14ac:dyDescent="0.25">
      <c r="A182" s="105"/>
      <c r="B182" s="105"/>
    </row>
    <row r="183" spans="1:2" x14ac:dyDescent="0.25">
      <c r="A183" s="105"/>
      <c r="B183" s="105"/>
    </row>
    <row r="184" spans="1:2" x14ac:dyDescent="0.25">
      <c r="A184" s="105"/>
      <c r="B184" s="105"/>
    </row>
    <row r="185" spans="1:2" x14ac:dyDescent="0.25">
      <c r="A185" s="105"/>
      <c r="B185" s="105"/>
    </row>
    <row r="186" spans="1:2" x14ac:dyDescent="0.25">
      <c r="A186" s="105"/>
      <c r="B186" s="105"/>
    </row>
    <row r="187" spans="1:2" x14ac:dyDescent="0.25">
      <c r="A187" s="105"/>
      <c r="B187" s="105"/>
    </row>
    <row r="188" spans="1:2" x14ac:dyDescent="0.25">
      <c r="A188" s="105"/>
      <c r="B188" s="105"/>
    </row>
    <row r="189" spans="1:2" x14ac:dyDescent="0.25">
      <c r="A189" s="105"/>
      <c r="B189" s="105"/>
    </row>
    <row r="190" spans="1:2" x14ac:dyDescent="0.25">
      <c r="A190" s="105"/>
      <c r="B190" s="105"/>
    </row>
    <row r="191" spans="1:2" x14ac:dyDescent="0.25">
      <c r="A191" s="105"/>
      <c r="B191" s="105"/>
    </row>
    <row r="192" spans="1:2" x14ac:dyDescent="0.25">
      <c r="A192" s="105"/>
      <c r="B192" s="105"/>
    </row>
    <row r="193" spans="1:2" x14ac:dyDescent="0.25">
      <c r="A193" s="105"/>
      <c r="B193" s="105"/>
    </row>
    <row r="194" spans="1:2" x14ac:dyDescent="0.25">
      <c r="A194" s="105"/>
      <c r="B194" s="105"/>
    </row>
    <row r="195" spans="1:2" x14ac:dyDescent="0.25">
      <c r="A195" s="105"/>
      <c r="B195" s="105"/>
    </row>
    <row r="196" spans="1:2" x14ac:dyDescent="0.25">
      <c r="A196" s="105"/>
      <c r="B196" s="105"/>
    </row>
    <row r="197" spans="1:2" x14ac:dyDescent="0.25">
      <c r="A197" s="105"/>
      <c r="B197" s="105"/>
    </row>
    <row r="198" spans="1:2" x14ac:dyDescent="0.25">
      <c r="A198" s="105"/>
      <c r="B198" s="105"/>
    </row>
    <row r="199" spans="1:2" x14ac:dyDescent="0.25">
      <c r="A199" s="105"/>
      <c r="B199" s="105"/>
    </row>
    <row r="200" spans="1:2" x14ac:dyDescent="0.25">
      <c r="A200" s="105"/>
      <c r="B200" s="105"/>
    </row>
    <row r="201" spans="1:2" x14ac:dyDescent="0.25">
      <c r="A201" s="105"/>
      <c r="B201" s="105"/>
    </row>
    <row r="202" spans="1:2" x14ac:dyDescent="0.25">
      <c r="A202" s="105"/>
      <c r="B202" s="105"/>
    </row>
    <row r="203" spans="1:2" x14ac:dyDescent="0.25">
      <c r="A203" s="105"/>
      <c r="B203" s="105"/>
    </row>
    <row r="204" spans="1:2" x14ac:dyDescent="0.25">
      <c r="A204" s="105"/>
      <c r="B204" s="105"/>
    </row>
    <row r="205" spans="1:2" x14ac:dyDescent="0.25">
      <c r="A205" s="105"/>
      <c r="B205" s="105"/>
    </row>
    <row r="206" spans="1:2" x14ac:dyDescent="0.25">
      <c r="A206" s="105"/>
      <c r="B206" s="105"/>
    </row>
    <row r="207" spans="1:2" x14ac:dyDescent="0.25">
      <c r="A207" s="105"/>
      <c r="B207" s="105"/>
    </row>
    <row r="208" spans="1:2" x14ac:dyDescent="0.25">
      <c r="A208" s="105"/>
      <c r="B208" s="105"/>
    </row>
    <row r="209" spans="1:2" x14ac:dyDescent="0.25">
      <c r="A209" s="105"/>
      <c r="B209" s="105"/>
    </row>
    <row r="210" spans="1:2" x14ac:dyDescent="0.25">
      <c r="A210" s="105"/>
      <c r="B210" s="105"/>
    </row>
    <row r="211" spans="1:2" x14ac:dyDescent="0.25">
      <c r="A211" s="105"/>
      <c r="B211" s="105"/>
    </row>
    <row r="212" spans="1:2" x14ac:dyDescent="0.25">
      <c r="A212" s="105"/>
      <c r="B212" s="105"/>
    </row>
  </sheetData>
  <pageMargins left="0.7" right="0.7" top="0.75" bottom="0.75" header="0.3" footer="0.3"/>
  <pageSetup orientation="portrait" r:id="rId1"/>
  <headerFooter>
    <oddFooter>&amp;C_x000D_&amp;1#&amp;"Aptos"&amp;10&amp;K000000 Classification: Bekaert Restricted Information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7"/>
  <dimension ref="A1:C7"/>
  <sheetViews>
    <sheetView workbookViewId="0"/>
  </sheetViews>
  <sheetFormatPr baseColWidth="10" defaultColWidth="0" defaultRowHeight="12.75" customHeight="1" zeroHeight="1" x14ac:dyDescent="0.2"/>
  <cols>
    <col min="1" max="1" width="16.85546875" style="50" customWidth="1"/>
    <col min="2" max="2" width="53.140625" style="50" customWidth="1"/>
    <col min="3" max="3" width="0" style="51" hidden="1" customWidth="1"/>
    <col min="4" max="16384" width="0" style="50" hidden="1"/>
  </cols>
  <sheetData>
    <row r="1" spans="1:2" s="51" customFormat="1" x14ac:dyDescent="0.2"/>
    <row r="2" spans="1:2" ht="15.75" x14ac:dyDescent="0.25">
      <c r="A2" s="53" t="s">
        <v>1</v>
      </c>
      <c r="B2" s="52"/>
    </row>
    <row r="3" spans="1:2" ht="15.75" x14ac:dyDescent="0.25">
      <c r="A3" s="53" t="s">
        <v>140</v>
      </c>
      <c r="B3" s="52"/>
    </row>
    <row r="4" spans="1:2" ht="15.75" x14ac:dyDescent="0.25">
      <c r="A4" s="53" t="s">
        <v>139</v>
      </c>
      <c r="B4" s="52"/>
    </row>
    <row r="5" spans="1:2" ht="15.75" x14ac:dyDescent="0.25">
      <c r="A5" s="53" t="s">
        <v>138</v>
      </c>
      <c r="B5" s="52"/>
    </row>
    <row r="6" spans="1:2" s="51" customFormat="1" hidden="1" x14ac:dyDescent="0.2"/>
    <row r="7" spans="1:2" s="51" customFormat="1" hidden="1" x14ac:dyDescent="0.2"/>
  </sheetData>
  <pageMargins left="0.7" right="0.7" top="0.75" bottom="0.75" header="0.3" footer="0.3"/>
  <pageSetup orientation="portrait" r:id="rId1"/>
  <headerFooter>
    <oddFooter>&amp;C_x000D_&amp;1#&amp;"Aptos"&amp;10&amp;K000000 Classification: Bekaert Restricted Information</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3">
    <pageSetUpPr fitToPage="1"/>
  </sheetPr>
  <dimension ref="A1:CF176"/>
  <sheetViews>
    <sheetView tabSelected="1" topLeftCell="A52" zoomScale="85" zoomScaleNormal="85" workbookViewId="0">
      <selection activeCell="F62" sqref="F62"/>
    </sheetView>
  </sheetViews>
  <sheetFormatPr baseColWidth="10" defaultColWidth="11.42578125" defaultRowHeight="12.75" x14ac:dyDescent="0.2"/>
  <cols>
    <col min="1" max="1" width="20.42578125" style="1" customWidth="1"/>
    <col min="2" max="2" width="15.28515625" style="1" customWidth="1"/>
    <col min="3" max="3" width="40.5703125" style="1" customWidth="1"/>
    <col min="4" max="4" width="27.28515625" style="1" customWidth="1"/>
    <col min="5" max="5" width="28" style="1" customWidth="1"/>
    <col min="6" max="6" width="25.140625" style="1" customWidth="1"/>
    <col min="7" max="7" width="21.28515625" style="1" customWidth="1"/>
    <col min="8" max="8" width="19.28515625" style="1" customWidth="1"/>
    <col min="9" max="9" width="17" style="1" customWidth="1"/>
    <col min="10" max="10" width="7.7109375" style="1" customWidth="1"/>
    <col min="11" max="11" width="11.42578125" style="1"/>
    <col min="12" max="12" width="7" style="1" bestFit="1" customWidth="1"/>
    <col min="13" max="13" width="21.85546875" style="1" bestFit="1" customWidth="1"/>
    <col min="14" max="14" width="8.5703125" style="1" bestFit="1" customWidth="1"/>
    <col min="15" max="15" width="15.28515625" style="1" bestFit="1" customWidth="1"/>
    <col min="16" max="16" width="7.140625" style="1" bestFit="1" customWidth="1"/>
    <col min="17" max="17" width="6" style="1" bestFit="1" customWidth="1"/>
    <col min="18" max="18" width="6.140625" style="1" bestFit="1" customWidth="1"/>
    <col min="19" max="19" width="6" style="1" bestFit="1" customWidth="1"/>
    <col min="20" max="21" width="6.140625" style="1" bestFit="1" customWidth="1"/>
    <col min="22" max="22" width="5.7109375" style="1" bestFit="1" customWidth="1"/>
    <col min="23" max="23" width="5" style="1" bestFit="1" customWidth="1"/>
    <col min="24" max="24" width="5.140625" style="1" bestFit="1" customWidth="1"/>
    <col min="25" max="26" width="4.140625" style="1" bestFit="1" customWidth="1"/>
    <col min="27" max="27" width="5.7109375" style="1" bestFit="1" customWidth="1"/>
    <col min="28" max="28" width="5.85546875" style="1" bestFit="1" customWidth="1"/>
    <col min="29" max="29" width="5.7109375" style="1" bestFit="1" customWidth="1"/>
    <col min="30" max="30" width="5.85546875" style="1" bestFit="1" customWidth="1"/>
    <col min="31" max="31" width="6" style="1" bestFit="1" customWidth="1"/>
    <col min="32" max="32" width="6.140625" style="1" bestFit="1" customWidth="1"/>
    <col min="33" max="33" width="5" style="1" bestFit="1" customWidth="1"/>
    <col min="34" max="35" width="5.140625" style="1" bestFit="1" customWidth="1"/>
    <col min="36" max="36" width="4.7109375" style="1" bestFit="1" customWidth="1"/>
    <col min="37" max="37" width="5" style="1" bestFit="1" customWidth="1"/>
    <col min="38" max="38" width="5.140625" style="1" bestFit="1" customWidth="1"/>
    <col min="39" max="39" width="4.140625" style="1" bestFit="1" customWidth="1"/>
    <col min="40" max="40" width="5" style="1" bestFit="1" customWidth="1"/>
    <col min="41" max="41" width="5.140625" style="1" bestFit="1" customWidth="1"/>
    <col min="42" max="42" width="5" style="1" bestFit="1" customWidth="1"/>
    <col min="43" max="44" width="5.140625" style="1" bestFit="1" customWidth="1"/>
    <col min="45" max="45" width="4.7109375" style="1" bestFit="1" customWidth="1"/>
    <col min="46" max="46" width="5" style="1" bestFit="1" customWidth="1"/>
    <col min="47" max="47" width="5.140625" style="1" bestFit="1" customWidth="1"/>
    <col min="48" max="49" width="4.7109375" style="1" bestFit="1" customWidth="1"/>
    <col min="50" max="50" width="5" style="1" bestFit="1" customWidth="1"/>
    <col min="51" max="51" width="4.7109375" style="1" bestFit="1" customWidth="1"/>
    <col min="52" max="52" width="5" style="1" bestFit="1" customWidth="1"/>
    <col min="53" max="53" width="5.140625" style="1" bestFit="1" customWidth="1"/>
    <col min="54" max="54" width="5" style="1" bestFit="1" customWidth="1"/>
    <col min="55" max="55" width="5.140625" style="1" bestFit="1" customWidth="1"/>
    <col min="56" max="56" width="6" style="1" bestFit="1" customWidth="1"/>
    <col min="57" max="57" width="6.140625" style="1" customWidth="1"/>
    <col min="58" max="58" width="6" style="1" bestFit="1" customWidth="1"/>
    <col min="59" max="59" width="6.140625" style="1" bestFit="1" customWidth="1"/>
    <col min="60" max="60" width="10" style="1" bestFit="1" customWidth="1"/>
    <col min="61" max="61" width="7.7109375" style="1" bestFit="1" customWidth="1"/>
    <col min="62" max="62" width="9" style="1" bestFit="1" customWidth="1"/>
    <col min="63" max="63" width="5.85546875" style="1" bestFit="1" customWidth="1"/>
    <col min="64" max="64" width="4.5703125" style="1" bestFit="1" customWidth="1"/>
    <col min="65" max="65" width="4.7109375" style="1" bestFit="1" customWidth="1"/>
    <col min="66" max="66" width="11.140625" style="1" bestFit="1" customWidth="1"/>
    <col min="67" max="67" width="9.28515625" style="1" bestFit="1" customWidth="1"/>
    <col min="68" max="76" width="11.42578125" style="1"/>
    <col min="77" max="77" width="17.140625" style="1" customWidth="1"/>
    <col min="78" max="83" width="11.42578125" style="1"/>
    <col min="84" max="84" width="14.28515625" style="1" customWidth="1"/>
    <col min="85" max="16384" width="11.42578125" style="1"/>
  </cols>
  <sheetData>
    <row r="1" spans="1:84" s="58" customFormat="1" x14ac:dyDescent="0.2">
      <c r="A1" s="131">
        <v>46266</v>
      </c>
      <c r="B1" s="132">
        <v>2</v>
      </c>
      <c r="C1" s="132">
        <v>4</v>
      </c>
      <c r="D1" s="132">
        <v>3</v>
      </c>
      <c r="K1" s="118"/>
      <c r="L1" s="137" t="s">
        <v>180</v>
      </c>
      <c r="M1" s="137" t="s">
        <v>181</v>
      </c>
      <c r="N1" s="137" t="s">
        <v>182</v>
      </c>
      <c r="O1" s="137" t="s">
        <v>183</v>
      </c>
      <c r="P1" s="137" t="s">
        <v>0</v>
      </c>
      <c r="Q1" s="138" t="s">
        <v>184</v>
      </c>
      <c r="R1" s="138" t="s">
        <v>185</v>
      </c>
      <c r="S1" s="138" t="s">
        <v>186</v>
      </c>
      <c r="T1" s="138" t="s">
        <v>187</v>
      </c>
      <c r="U1" s="138" t="s">
        <v>188</v>
      </c>
      <c r="V1" s="138" t="s">
        <v>189</v>
      </c>
      <c r="W1" s="137" t="s">
        <v>190</v>
      </c>
      <c r="X1" s="137" t="s">
        <v>191</v>
      </c>
      <c r="Y1" s="137" t="s">
        <v>192</v>
      </c>
      <c r="Z1" s="137" t="s">
        <v>193</v>
      </c>
      <c r="AA1" s="139" t="s">
        <v>194</v>
      </c>
      <c r="AB1" s="139" t="s">
        <v>195</v>
      </c>
      <c r="AC1" s="139" t="s">
        <v>196</v>
      </c>
      <c r="AD1" s="139" t="s">
        <v>197</v>
      </c>
      <c r="AE1" s="138" t="s">
        <v>198</v>
      </c>
      <c r="AF1" s="138" t="s">
        <v>199</v>
      </c>
      <c r="AG1" s="139" t="s">
        <v>200</v>
      </c>
      <c r="AH1" s="139" t="s">
        <v>201</v>
      </c>
      <c r="AI1" s="138" t="s">
        <v>202</v>
      </c>
      <c r="AJ1" s="138" t="s">
        <v>203</v>
      </c>
      <c r="AK1" s="138" t="s">
        <v>204</v>
      </c>
      <c r="AL1" s="138" t="s">
        <v>205</v>
      </c>
      <c r="AM1" s="137" t="s">
        <v>206</v>
      </c>
      <c r="AN1" s="139" t="s">
        <v>207</v>
      </c>
      <c r="AO1" s="139" t="s">
        <v>208</v>
      </c>
      <c r="AP1" s="139" t="s">
        <v>209</v>
      </c>
      <c r="AQ1" s="139" t="s">
        <v>210</v>
      </c>
      <c r="AR1" s="139" t="s">
        <v>211</v>
      </c>
      <c r="AS1" s="139" t="s">
        <v>212</v>
      </c>
      <c r="AT1" s="139" t="s">
        <v>213</v>
      </c>
      <c r="AU1" s="139" t="s">
        <v>214</v>
      </c>
      <c r="AV1" s="139" t="s">
        <v>215</v>
      </c>
      <c r="AW1" s="139" t="s">
        <v>216</v>
      </c>
      <c r="AX1" s="139" t="s">
        <v>217</v>
      </c>
      <c r="AY1" s="139" t="s">
        <v>218</v>
      </c>
      <c r="AZ1" s="138" t="s">
        <v>219</v>
      </c>
      <c r="BA1" s="138" t="s">
        <v>220</v>
      </c>
      <c r="BB1" s="138" t="s">
        <v>221</v>
      </c>
      <c r="BC1" s="138" t="s">
        <v>222</v>
      </c>
      <c r="BD1" s="140" t="s">
        <v>223</v>
      </c>
      <c r="BE1" s="140" t="s">
        <v>224</v>
      </c>
      <c r="BF1" s="140" t="s">
        <v>225</v>
      </c>
      <c r="BG1" s="140" t="s">
        <v>226</v>
      </c>
      <c r="BH1" s="140" t="s">
        <v>227</v>
      </c>
      <c r="BI1" s="139" t="s">
        <v>228</v>
      </c>
      <c r="BJ1" s="139" t="s">
        <v>229</v>
      </c>
      <c r="BK1" s="139" t="s">
        <v>230</v>
      </c>
      <c r="BL1" s="139" t="s">
        <v>231</v>
      </c>
      <c r="BM1" s="137" t="s">
        <v>232</v>
      </c>
      <c r="BN1" s="137" t="s">
        <v>233</v>
      </c>
      <c r="BO1" s="137" t="s">
        <v>234</v>
      </c>
      <c r="BP1" s="137" t="s">
        <v>235</v>
      </c>
      <c r="BQ1" s="137" t="s">
        <v>236</v>
      </c>
      <c r="BR1" s="137" t="s">
        <v>237</v>
      </c>
      <c r="BS1" s="141" t="s">
        <v>238</v>
      </c>
      <c r="BT1" s="137" t="s">
        <v>239</v>
      </c>
    </row>
    <row r="2" spans="1:84" s="58" customFormat="1" x14ac:dyDescent="0.2">
      <c r="K2" s="118"/>
      <c r="L2" s="118"/>
      <c r="M2" s="118"/>
      <c r="N2" s="118"/>
      <c r="O2" s="118"/>
      <c r="P2" s="118"/>
      <c r="Q2" s="118"/>
      <c r="R2" s="118"/>
      <c r="S2" s="118"/>
      <c r="T2" s="118"/>
      <c r="U2" s="118"/>
      <c r="V2" s="118"/>
      <c r="W2" s="118"/>
      <c r="X2" s="118"/>
      <c r="Y2" s="118"/>
      <c r="Z2" s="118"/>
      <c r="AA2" s="118"/>
      <c r="AB2" s="118"/>
      <c r="AC2" s="118"/>
      <c r="AD2" s="118"/>
      <c r="AE2" s="118"/>
      <c r="AF2" s="118"/>
      <c r="AG2" s="118"/>
      <c r="AH2" s="118"/>
      <c r="AI2" s="118"/>
      <c r="AJ2" s="118"/>
      <c r="AK2" s="118"/>
      <c r="AL2" s="118"/>
      <c r="AM2" s="118"/>
      <c r="AN2" s="118"/>
      <c r="AO2" s="118"/>
      <c r="AP2" s="118"/>
      <c r="AQ2" s="118"/>
      <c r="AR2" s="118"/>
      <c r="AS2" s="118"/>
      <c r="AT2" s="118"/>
      <c r="AU2" s="118"/>
      <c r="AV2" s="118"/>
      <c r="AW2" s="118"/>
      <c r="AX2" s="118"/>
      <c r="AY2" s="118"/>
      <c r="AZ2" s="118"/>
      <c r="BA2" s="118"/>
      <c r="BB2" s="118"/>
      <c r="BC2" s="118"/>
      <c r="BD2" s="118"/>
      <c r="BE2" s="118"/>
      <c r="BF2" s="118"/>
      <c r="BG2" s="118"/>
      <c r="BH2" s="118"/>
      <c r="BI2" s="118"/>
      <c r="BJ2" s="118"/>
      <c r="BK2" s="118"/>
      <c r="BL2" s="118"/>
      <c r="BM2" s="118"/>
      <c r="BN2" s="118"/>
      <c r="BO2" s="118"/>
      <c r="BP2" s="118"/>
      <c r="BQ2" s="118"/>
      <c r="BR2" s="118"/>
      <c r="BS2" s="118"/>
      <c r="BT2" s="118"/>
    </row>
    <row r="3" spans="1:84" s="58" customFormat="1" x14ac:dyDescent="0.2">
      <c r="K3" s="118"/>
      <c r="L3" s="118" t="str">
        <f>$B$157</f>
        <v>EE694-1</v>
      </c>
      <c r="M3" s="118"/>
      <c r="N3" s="118" t="str">
        <f>B156</f>
        <v>BOGOTA</v>
      </c>
      <c r="O3" s="118"/>
      <c r="P3" s="118"/>
      <c r="Q3" s="118" t="str">
        <f>IF($D$25=0,"sd",IF($D$25=" ","sd",$D$25))</f>
        <v>6.5</v>
      </c>
      <c r="R3" s="118" t="str">
        <f>IF($D$26=0,"sd",IF($D$26=" ","sd",$D$26))</f>
        <v>6.2</v>
      </c>
      <c r="S3" s="118" t="str">
        <f>IF($D$27=0,"sd",IF($D$27=" ","sd",$D$27))</f>
        <v>6.2</v>
      </c>
      <c r="T3" s="118" t="str">
        <f>IF($D$28=0,"sd",IF($D$28=" ","sd",$D$28))</f>
        <v>6.2</v>
      </c>
      <c r="U3" s="118" t="str">
        <f>IF($D$29=0,"sd",IF($D$29=" ","sd",$D$29))</f>
        <v>6.8</v>
      </c>
      <c r="V3" s="118">
        <f>IF($D$30=0,"sd",IF($D$30=" ","sd",$D$30))</f>
        <v>6</v>
      </c>
      <c r="W3" s="119" t="str">
        <f>IF($D$35=0,"sd",IF($D$35=" ","sd",$D$35))</f>
        <v>6.5</v>
      </c>
      <c r="X3" s="119" t="str">
        <f>IF($D$36=0,"sd",IF($D$36=" ","sd",$D$36))</f>
        <v>5.5</v>
      </c>
      <c r="Y3" s="118">
        <f>IF($D$46="X",1,IF($E$46="X",-1,IF($F$46="X",0,IF($G$46="X",2,"sd"))))</f>
        <v>0</v>
      </c>
      <c r="Z3" s="118">
        <f>IF($D$54="X",1,IF($E$54="X",-1,IF($F$54="X",0,IF($G$54="X",2,"sd"))))</f>
        <v>0</v>
      </c>
      <c r="AA3" s="58">
        <f>IF($D$74=0,"sd",IF($D$74=" ","sd",$D$74))</f>
        <v>3500</v>
      </c>
      <c r="AB3" s="119">
        <f>IF($D$75=0,"sd",IF($D$75=" ","sd",$D$75))</f>
        <v>3200</v>
      </c>
      <c r="AC3" s="119">
        <f>IF($D$76=0,"sd",IF($D$76=" ","sd",$D$76))</f>
        <v>3700</v>
      </c>
      <c r="AD3" s="119">
        <f>IF($D$77=0,"sd",IF($D$77=" ","sd",$D$77))</f>
        <v>3200</v>
      </c>
      <c r="AE3" s="118" t="str">
        <f>IF($D$87=" ","sd",$D$87)</f>
        <v>3.2</v>
      </c>
      <c r="AF3" s="118" t="str">
        <f>IF($D$88=" ","sd",$D$88)</f>
        <v>3.8</v>
      </c>
      <c r="AG3" s="119">
        <f>IF($D$94="X",1,IF($E$94="X",-1,IF($F$94="X",0,IF($G$94="X",2,"sd"))))</f>
        <v>-1</v>
      </c>
      <c r="AH3" s="119">
        <f>IF($D$95="X",1,IF($E$95="X",-1,IF($F$95="X",0,IF($G$95="X",2,"sd"))))</f>
        <v>1</v>
      </c>
      <c r="AI3" s="118" t="str">
        <f>IF($D$65=0,"sd",IF($D$65=" ","sd",$D$65))</f>
        <v>12.50</v>
      </c>
      <c r="AJ3" s="118" t="str">
        <f>IF($D$66=0,"sd",IF($D$66=" ","sd",$D$66))</f>
        <v>12.63</v>
      </c>
      <c r="AK3" s="118" t="str">
        <f>IF($D$67=0,"sd",IF($D$67=" ","sd",$D$67))</f>
        <v>12.60</v>
      </c>
      <c r="AL3" s="118" t="str">
        <f>IF($D$68=0,"sd",IF($D$68=" ","sd",$D$68))</f>
        <v>12.50</v>
      </c>
      <c r="AM3" s="119">
        <f>IF($D$101="X",0,IF($D$102="X",1,IF($D$103="X",2,IF($D$104="X",3,IF($D$105="X",4,IF($D$106="X",5,"sd"))))))</f>
        <v>1</v>
      </c>
      <c r="AN3" s="118">
        <f>IF($D113="X",0,IF($E113="X",1,IF($F113="X",2,IF($G113="X",3,"sd"))))</f>
        <v>3</v>
      </c>
      <c r="AO3" s="118">
        <f>IF($D114="X",0,IF($E114="X",1,IF($F114="X",2,IF($G114="X",3,"sd"))))</f>
        <v>3</v>
      </c>
      <c r="AP3" s="118">
        <f>IF($D115="X",0,IF($E115="X",1,IF($F115="X",2,IF($G115="X",3,"sd"))))</f>
        <v>2</v>
      </c>
      <c r="AQ3" s="118">
        <f>IF($D116="X",0,IF($E116="X",1,IF($F116="X",2,IF($G116="X",3,"sd"))))</f>
        <v>2</v>
      </c>
      <c r="AR3" s="118">
        <f>IF($D117="X",0,IF($E117="X",1,IF($F117="X",2,IF($G117="X",3,"sd"))))</f>
        <v>3</v>
      </c>
      <c r="AS3" s="118">
        <f>IF($D118="X",0,IF($E118="X",1,IF($F118="X",2,IF($G118="X",3,"sd"))))</f>
        <v>0</v>
      </c>
      <c r="AT3" s="118">
        <f>IF($D119="X",0,IF($E119="X",1,IF($F119="X",2,IF($G119="X",3,"sd"))))</f>
        <v>2</v>
      </c>
      <c r="AU3" s="118">
        <f>IF($D120="X",0,IF($E120="X",1,IF($F120="X",2,IF($G120="X",3,"sd"))))</f>
        <v>2</v>
      </c>
      <c r="AV3" s="118">
        <f>IF($D121="X",0,IF($E121="X",1,IF($F121="X",2,IF($G121="X",3,"sd"))))</f>
        <v>3</v>
      </c>
      <c r="AW3" s="118">
        <f>IF($D122="X",0,IF($E122="X",1,IF($F122="X",2,IF($G122="X",3,"sd"))))</f>
        <v>2</v>
      </c>
      <c r="AX3" s="118">
        <f>IF($D123="X",0,IF($E123="X",1,IF($F123="X",2,IF($G123="X",3,"sd"))))</f>
        <v>1</v>
      </c>
      <c r="AY3" s="118">
        <f>IF($D124="X",0,IF($E124="X",1,IF($F124="X",2,IF($G124="X",3,"sd"))))</f>
        <v>1</v>
      </c>
      <c r="AZ3" s="118" t="str">
        <f>IF($D$129=0,"sd",IF($D$129=" ","sd",$D$129))</f>
        <v>4.9</v>
      </c>
      <c r="BA3" s="118" t="str">
        <f>IF($D$130=0,"sd",IF($D$130=" ","sd",$D$130))</f>
        <v>6.8</v>
      </c>
      <c r="BB3" s="118" t="str">
        <f>IF($D$135=0,"sd",IF($D$135=" ","sd",$D$135))</f>
        <v>7.3</v>
      </c>
      <c r="BC3" s="118" t="str">
        <f>IF($D$136=0,"sd",IF($D$136=" ","sd",$D$136))</f>
        <v>6.8</v>
      </c>
      <c r="BD3" s="118" t="s">
        <v>240</v>
      </c>
      <c r="BE3" s="118" t="s">
        <v>240</v>
      </c>
      <c r="BF3" s="118" t="s">
        <v>240</v>
      </c>
      <c r="BG3" s="118" t="s">
        <v>240</v>
      </c>
      <c r="BH3" s="118" t="s">
        <v>240</v>
      </c>
      <c r="BI3" s="119">
        <f>IF($D$144="X",1,IF($E$144="X",0,"sd"))</f>
        <v>1</v>
      </c>
      <c r="BJ3" s="119">
        <f>IF($D$145="X",1,IF($E$145="X",0,"sd"))</f>
        <v>0</v>
      </c>
      <c r="BK3" s="119">
        <f>IF($D$146="X",1,IF($E$146="X",0,"sd"))</f>
        <v>0</v>
      </c>
      <c r="BL3" s="119">
        <f>IF($E$148="X",1,IF($G$148="X",2,IF($E$149="X",3,IF($G$149="X",4,"sd"))))</f>
        <v>3</v>
      </c>
      <c r="BM3" s="120" t="str">
        <f>$B$153</f>
        <v>Productora De Alambres Colombianos Proalco S A S</v>
      </c>
      <c r="BN3" s="120" t="str">
        <f>$E$153</f>
        <v>Representante Legal</v>
      </c>
      <c r="BO3" s="120" t="str">
        <f>$B$154</f>
        <v>Productora De Alambres Colombianos Proalco S A S</v>
      </c>
      <c r="BP3" s="120" t="str">
        <f>$E$154</f>
        <v>notificacion.proalco@bekaert.com</v>
      </c>
      <c r="BQ3" s="120" t="str">
        <f>$E$155</f>
        <v>7198899</v>
      </c>
      <c r="BR3" s="120" t="str">
        <f>$B$155</f>
        <v>Aut Sur Km 25 Via Sibate Zona Industrial Muña Port 3</v>
      </c>
      <c r="BS3" s="121">
        <f>$E$157</f>
        <v>0</v>
      </c>
      <c r="BT3" s="118" t="s">
        <v>241</v>
      </c>
    </row>
    <row r="4" spans="1:84" s="58" customFormat="1" ht="15.75" x14ac:dyDescent="0.25">
      <c r="A4" s="57"/>
      <c r="B4" s="57"/>
      <c r="C4" s="57"/>
      <c r="D4" s="57"/>
      <c r="E4" s="57"/>
      <c r="F4" s="57"/>
      <c r="G4" s="57"/>
      <c r="J4" s="57"/>
      <c r="K4" s="101"/>
      <c r="L4" s="118"/>
      <c r="M4" s="118"/>
      <c r="N4" s="118"/>
      <c r="O4" s="118"/>
      <c r="P4" s="118"/>
      <c r="Q4" s="118"/>
      <c r="R4" s="118"/>
      <c r="S4" s="118"/>
      <c r="T4" s="118"/>
      <c r="U4" s="118"/>
      <c r="V4" s="118"/>
      <c r="W4" s="118"/>
      <c r="X4" s="118"/>
      <c r="Y4" s="122"/>
      <c r="Z4" s="123"/>
      <c r="AA4" s="118"/>
      <c r="AI4" s="118"/>
      <c r="AJ4" s="118"/>
      <c r="AK4" s="118"/>
      <c r="AL4" s="118"/>
      <c r="AM4" s="118"/>
      <c r="AN4" s="118"/>
      <c r="AO4" s="118"/>
      <c r="AP4" s="118"/>
      <c r="AQ4" s="118"/>
      <c r="AR4" s="118"/>
      <c r="AS4" s="118"/>
      <c r="AT4" s="118"/>
      <c r="AU4" s="118"/>
      <c r="AV4" s="118"/>
      <c r="AW4" s="118"/>
      <c r="AX4" s="118"/>
      <c r="AY4" s="118"/>
      <c r="AZ4" s="118"/>
      <c r="BA4" s="118"/>
      <c r="BB4" s="118"/>
      <c r="BC4" s="118"/>
      <c r="BD4" s="118"/>
      <c r="BE4" s="118"/>
      <c r="BF4" s="118"/>
      <c r="BG4" s="118"/>
      <c r="BH4" s="118"/>
      <c r="BI4" s="118"/>
      <c r="BJ4" s="118"/>
      <c r="BK4" s="118"/>
      <c r="BL4" s="118"/>
      <c r="BM4" s="118"/>
      <c r="BN4" s="118"/>
      <c r="BO4" s="118"/>
      <c r="BP4" s="118"/>
      <c r="BQ4" s="118"/>
      <c r="BR4" s="118"/>
      <c r="BS4" s="118"/>
      <c r="BT4" s="118"/>
      <c r="BU4" s="118"/>
      <c r="BV4" s="118"/>
      <c r="BW4" s="118"/>
      <c r="BX4" s="118"/>
      <c r="BY4" s="118"/>
      <c r="BZ4" s="118"/>
      <c r="CA4" s="118"/>
      <c r="CB4" s="118"/>
      <c r="CC4" s="118"/>
      <c r="CD4" s="118"/>
      <c r="CE4" s="118"/>
      <c r="CF4" s="118"/>
    </row>
    <row r="5" spans="1:84" s="58" customFormat="1" ht="15.75" x14ac:dyDescent="0.25">
      <c r="A5" s="57"/>
      <c r="B5" s="57"/>
      <c r="C5" s="57"/>
      <c r="D5" s="57"/>
      <c r="E5" s="57"/>
      <c r="F5" s="57"/>
      <c r="G5" s="57"/>
      <c r="J5" s="57"/>
      <c r="K5" s="101"/>
      <c r="Y5" s="142"/>
    </row>
    <row r="6" spans="1:84" s="135" customFormat="1" ht="15.75" x14ac:dyDescent="0.25">
      <c r="A6" s="133" t="s">
        <v>2</v>
      </c>
      <c r="B6" s="133"/>
      <c r="C6" s="133"/>
      <c r="D6" s="133"/>
      <c r="E6" s="133"/>
      <c r="F6" s="133"/>
      <c r="G6" s="133"/>
      <c r="H6" s="126"/>
      <c r="I6" s="126"/>
      <c r="J6" s="133"/>
      <c r="K6" s="134"/>
    </row>
    <row r="7" spans="1:84" s="135" customFormat="1" ht="19.5" x14ac:dyDescent="0.35">
      <c r="A7" s="143" t="s">
        <v>3</v>
      </c>
      <c r="B7" s="143"/>
      <c r="C7" s="143"/>
      <c r="D7" s="143"/>
      <c r="E7" s="143"/>
      <c r="F7" s="143"/>
      <c r="G7" s="143"/>
      <c r="H7" s="144"/>
      <c r="I7" s="126"/>
      <c r="J7" s="136"/>
      <c r="K7" s="134"/>
    </row>
    <row r="8" spans="1:84" ht="15.75" x14ac:dyDescent="0.25">
      <c r="A8" s="62" t="s">
        <v>171</v>
      </c>
      <c r="B8" s="63"/>
      <c r="C8" s="63"/>
      <c r="D8" s="63"/>
      <c r="E8" s="63"/>
      <c r="F8" s="63"/>
      <c r="G8" s="63"/>
      <c r="H8" s="126"/>
      <c r="I8" s="126"/>
      <c r="J8" s="63"/>
      <c r="K8" s="2"/>
    </row>
    <row r="9" spans="1:84" x14ac:dyDescent="0.2">
      <c r="H9" s="126"/>
      <c r="I9" s="126"/>
    </row>
    <row r="10" spans="1:84" ht="20.25" x14ac:dyDescent="0.3">
      <c r="A10" s="10"/>
      <c r="B10" s="10"/>
      <c r="C10" s="10"/>
      <c r="D10" s="64" t="s">
        <v>242</v>
      </c>
      <c r="F10" s="65"/>
      <c r="G10" s="66"/>
      <c r="H10" s="126"/>
      <c r="I10" s="126"/>
      <c r="J10" s="10"/>
      <c r="K10" s="2"/>
    </row>
    <row r="11" spans="1:84" ht="15.75" x14ac:dyDescent="0.25">
      <c r="A11" s="2"/>
      <c r="B11" s="2"/>
      <c r="C11" s="2"/>
      <c r="D11" s="2"/>
      <c r="E11" s="2"/>
      <c r="F11" s="2"/>
      <c r="G11" s="2"/>
      <c r="H11" s="126"/>
      <c r="I11" s="126"/>
      <c r="J11" s="2"/>
      <c r="K11" s="2"/>
    </row>
    <row r="12" spans="1:84" ht="15.75" x14ac:dyDescent="0.25">
      <c r="A12" s="67" t="s">
        <v>170</v>
      </c>
      <c r="B12" s="3"/>
      <c r="C12" s="2"/>
      <c r="D12" s="67" t="s">
        <v>164</v>
      </c>
      <c r="F12" s="67" t="s">
        <v>166</v>
      </c>
      <c r="G12" s="3" t="s">
        <v>167</v>
      </c>
      <c r="H12" s="126"/>
      <c r="I12" s="126"/>
      <c r="K12" s="2"/>
      <c r="L12" s="114"/>
    </row>
    <row r="13" spans="1:84" ht="15.75" x14ac:dyDescent="0.25">
      <c r="A13" s="67" t="s">
        <v>168</v>
      </c>
      <c r="B13" s="113" t="s">
        <v>165</v>
      </c>
      <c r="C13" s="2"/>
      <c r="D13" s="67" t="s">
        <v>169</v>
      </c>
      <c r="G13" s="10"/>
      <c r="H13" s="126"/>
      <c r="I13" s="126"/>
      <c r="K13" s="2"/>
      <c r="L13" s="114"/>
    </row>
    <row r="14" spans="1:84" ht="15.75" x14ac:dyDescent="0.25">
      <c r="A14" s="2"/>
      <c r="B14" s="2"/>
      <c r="C14" s="2"/>
      <c r="D14" s="2"/>
      <c r="E14" s="2"/>
      <c r="F14" s="2"/>
      <c r="G14" s="2"/>
      <c r="H14" s="126"/>
      <c r="I14" s="126"/>
      <c r="J14" s="2"/>
      <c r="K14" s="2"/>
    </row>
    <row r="15" spans="1:84" ht="18.75" x14ac:dyDescent="0.3">
      <c r="A15" s="68" t="s">
        <v>94</v>
      </c>
      <c r="B15" s="69"/>
      <c r="C15" s="69"/>
      <c r="D15" s="69"/>
      <c r="E15" s="69"/>
      <c r="F15" s="69"/>
      <c r="G15" s="69"/>
      <c r="H15" s="126"/>
      <c r="I15" s="126"/>
      <c r="J15" s="2"/>
      <c r="K15" s="2"/>
    </row>
    <row r="16" spans="1:84" ht="15.75" x14ac:dyDescent="0.25">
      <c r="A16" s="11" t="s">
        <v>98</v>
      </c>
      <c r="B16" s="2"/>
      <c r="C16" s="2"/>
      <c r="D16" s="2"/>
      <c r="E16" s="2"/>
      <c r="F16" s="2"/>
      <c r="G16" s="2"/>
      <c r="H16" s="126"/>
      <c r="I16" s="126"/>
      <c r="J16" s="2"/>
      <c r="K16" s="2"/>
      <c r="M16" s="70"/>
      <c r="N16" s="70"/>
      <c r="O16" s="70"/>
      <c r="P16" s="70"/>
      <c r="Q16" s="70"/>
      <c r="R16" s="70"/>
      <c r="S16" s="70"/>
      <c r="T16" s="70"/>
      <c r="U16" s="70"/>
      <c r="V16" s="70"/>
      <c r="W16" s="70"/>
      <c r="X16" s="70"/>
      <c r="Y16" s="70"/>
      <c r="Z16" s="70"/>
      <c r="AA16" s="70"/>
      <c r="AB16" s="70"/>
      <c r="AC16" s="70"/>
      <c r="AD16" s="70"/>
      <c r="AE16" s="70"/>
      <c r="AF16" s="70"/>
      <c r="AG16" s="70"/>
      <c r="AH16" s="70"/>
      <c r="AI16" s="70"/>
      <c r="AJ16" s="70"/>
      <c r="AK16" s="70"/>
      <c r="AL16" s="70"/>
      <c r="AM16" s="70"/>
      <c r="AN16" s="70"/>
      <c r="AO16" s="70"/>
      <c r="AP16" s="70"/>
      <c r="AQ16" s="70"/>
      <c r="AR16" s="70"/>
      <c r="AS16" s="70"/>
      <c r="AT16" s="70"/>
      <c r="AU16" s="70"/>
      <c r="AV16" s="70"/>
      <c r="AW16" s="70"/>
      <c r="AX16" s="70"/>
      <c r="AY16" s="70"/>
      <c r="AZ16" s="70"/>
      <c r="BA16" s="70"/>
      <c r="BB16" s="70"/>
      <c r="BC16" s="70"/>
      <c r="BD16" s="70"/>
      <c r="BE16" s="70"/>
      <c r="BF16" s="70"/>
      <c r="BG16" s="70"/>
      <c r="BH16" s="70"/>
      <c r="BI16" s="70"/>
      <c r="BJ16" s="70"/>
      <c r="BK16" s="70"/>
      <c r="BL16" s="70"/>
      <c r="BM16" s="70"/>
      <c r="BN16" s="70"/>
      <c r="BO16" s="70"/>
      <c r="BP16" s="70"/>
      <c r="BQ16" s="70"/>
      <c r="BR16" s="70"/>
      <c r="BS16" s="70"/>
      <c r="BT16" s="70"/>
      <c r="BU16" s="70"/>
      <c r="BV16" s="70"/>
      <c r="BW16" s="70"/>
      <c r="BX16" s="70"/>
      <c r="BY16" s="70"/>
      <c r="BZ16" s="70"/>
      <c r="CA16" s="70"/>
      <c r="CB16" s="70"/>
      <c r="CC16" s="70"/>
      <c r="CD16" s="70"/>
      <c r="CE16" s="70"/>
      <c r="CF16" s="70"/>
    </row>
    <row r="17" spans="1:84" ht="15.75" x14ac:dyDescent="0.25">
      <c r="A17" s="67" t="s">
        <v>43</v>
      </c>
      <c r="B17" s="3"/>
      <c r="C17" s="3"/>
      <c r="D17" s="3"/>
      <c r="E17" s="3"/>
      <c r="F17" s="3"/>
      <c r="G17" s="3"/>
      <c r="H17" s="126"/>
      <c r="I17" s="126"/>
      <c r="J17" s="2"/>
      <c r="K17" s="2"/>
      <c r="M17" s="60"/>
      <c r="N17" s="60"/>
      <c r="O17" s="60"/>
      <c r="P17" s="60"/>
      <c r="Q17" s="60"/>
      <c r="R17" s="60"/>
      <c r="S17" s="60"/>
      <c r="T17" s="60"/>
      <c r="U17" s="60"/>
      <c r="V17" s="60"/>
      <c r="W17" s="60"/>
      <c r="X17" s="60"/>
      <c r="Y17" s="60"/>
      <c r="Z17" s="60"/>
      <c r="AA17" s="60"/>
      <c r="AB17" s="60"/>
      <c r="AC17" s="60"/>
      <c r="AD17" s="60"/>
      <c r="AE17" s="60"/>
      <c r="AF17" s="60"/>
      <c r="AG17" s="60"/>
      <c r="AH17" s="60"/>
      <c r="AI17" s="60"/>
      <c r="AJ17" s="60"/>
      <c r="AK17" s="60"/>
      <c r="AL17" s="60"/>
      <c r="AM17" s="60"/>
      <c r="AN17" s="60"/>
      <c r="AO17" s="60"/>
      <c r="AP17" s="60"/>
      <c r="AQ17" s="60"/>
      <c r="AR17" s="60"/>
      <c r="AS17" s="60"/>
      <c r="AT17" s="60"/>
      <c r="AU17" s="60"/>
      <c r="AV17" s="60"/>
      <c r="AW17" s="60"/>
      <c r="AX17" s="60"/>
      <c r="AY17" s="60"/>
      <c r="AZ17" s="60"/>
      <c r="BA17" s="60"/>
      <c r="BB17" s="60"/>
      <c r="BC17" s="60"/>
      <c r="BD17" s="60"/>
      <c r="BE17" s="60"/>
      <c r="BF17" s="60"/>
      <c r="BG17" s="60"/>
      <c r="BH17" s="60"/>
      <c r="BI17" s="60"/>
      <c r="BJ17" s="60"/>
      <c r="BK17" s="60"/>
      <c r="BL17" s="60"/>
      <c r="BM17" s="60"/>
      <c r="BN17" s="60"/>
      <c r="BO17" s="60"/>
      <c r="BP17" s="60"/>
      <c r="BQ17" s="60"/>
      <c r="BR17" s="60"/>
      <c r="BS17" s="60"/>
      <c r="BT17" s="60"/>
      <c r="BU17" s="60"/>
      <c r="BV17" s="60"/>
      <c r="BW17" s="60"/>
      <c r="BX17" s="60"/>
      <c r="BY17" s="60"/>
      <c r="BZ17" s="60"/>
      <c r="CA17" s="60"/>
      <c r="CB17" s="60"/>
      <c r="CC17" s="60"/>
      <c r="CD17" s="60"/>
      <c r="CE17" s="60"/>
      <c r="CF17" s="60"/>
    </row>
    <row r="18" spans="1:84" ht="15.75" x14ac:dyDescent="0.25">
      <c r="A18" s="3" t="s">
        <v>92</v>
      </c>
      <c r="B18" s="3"/>
      <c r="C18" s="3"/>
      <c r="D18" s="3"/>
      <c r="E18" s="3"/>
      <c r="F18" s="3"/>
      <c r="G18" s="3"/>
      <c r="H18" s="126"/>
      <c r="I18" s="126"/>
      <c r="J18" s="2"/>
      <c r="K18" s="2"/>
      <c r="M18" s="60"/>
      <c r="N18" s="60"/>
      <c r="O18" s="60"/>
      <c r="P18" s="60"/>
      <c r="Q18" s="60"/>
      <c r="R18" s="60"/>
      <c r="S18" s="60"/>
      <c r="T18" s="60"/>
      <c r="U18" s="60"/>
      <c r="V18" s="60"/>
      <c r="W18" s="60"/>
      <c r="X18" s="60"/>
      <c r="Y18" s="60"/>
      <c r="Z18" s="60"/>
      <c r="AA18" s="60"/>
      <c r="AB18" s="60"/>
      <c r="AC18" s="60"/>
      <c r="AD18" s="60"/>
      <c r="AE18" s="60"/>
      <c r="AF18" s="60"/>
      <c r="AG18" s="60"/>
      <c r="AH18" s="60"/>
      <c r="AI18" s="60"/>
      <c r="AJ18" s="60"/>
      <c r="AK18" s="60"/>
      <c r="AL18" s="60"/>
      <c r="AM18" s="60"/>
      <c r="AN18" s="60"/>
      <c r="AO18" s="60"/>
      <c r="AP18" s="60"/>
      <c r="AQ18" s="60"/>
      <c r="AR18" s="60"/>
      <c r="AS18" s="60"/>
      <c r="AT18" s="60"/>
      <c r="AU18" s="60"/>
      <c r="AV18" s="60"/>
      <c r="AW18" s="60"/>
      <c r="AX18" s="60"/>
      <c r="AY18" s="60"/>
      <c r="AZ18" s="60"/>
      <c r="BA18" s="60"/>
      <c r="BB18" s="60"/>
      <c r="BC18" s="60"/>
      <c r="BD18" s="60"/>
      <c r="BE18" s="60"/>
      <c r="BF18" s="60"/>
      <c r="BG18" s="60"/>
      <c r="BH18" s="60"/>
      <c r="BI18" s="60"/>
      <c r="BJ18" s="60"/>
      <c r="BK18" s="60"/>
      <c r="BL18" s="60"/>
      <c r="BM18" s="60"/>
      <c r="BN18" s="60"/>
      <c r="BO18" s="60"/>
      <c r="BP18" s="60"/>
      <c r="BQ18" s="60"/>
      <c r="BR18" s="60"/>
      <c r="BS18" s="60"/>
      <c r="BT18" s="60"/>
      <c r="BU18" s="60"/>
      <c r="BV18" s="60"/>
      <c r="BW18" s="60"/>
      <c r="BX18" s="60"/>
      <c r="BY18" s="60"/>
      <c r="BZ18" s="60"/>
      <c r="CA18" s="60"/>
      <c r="CB18" s="60"/>
      <c r="CC18" s="60"/>
      <c r="CD18" s="60"/>
      <c r="CE18" s="60"/>
      <c r="CF18" s="60"/>
    </row>
    <row r="19" spans="1:84" ht="15.75" x14ac:dyDescent="0.25">
      <c r="A19" s="67" t="str">
        <f>"A "&amp;LOWER(TEXT(EDATE($A$1,-1),"mmmm"))&amp;" de "&amp;TEXT(EDATE($A$1,-1),"yyy")&amp;"  la inflación anual  se situó en: "</f>
        <v xml:space="preserve">A agosto de 2026  la inflación anual  se situó en: </v>
      </c>
      <c r="B19" s="3"/>
      <c r="C19" s="3"/>
      <c r="D19" s="71">
        <f>IFERROR(IF(VLOOKUP(EDATE($A$1,-1),Mes!$A:$E,2,0)=0,"99999",VLOOKUP(EDATE($A$1,-1),Mes!$A:$E,2,0)/100),"99999")</f>
        <v>6.2454467183256979E-2</v>
      </c>
      <c r="E19" s="72"/>
      <c r="F19" s="72"/>
      <c r="G19" s="3"/>
      <c r="H19" s="126"/>
      <c r="I19" s="126"/>
      <c r="J19" s="2"/>
      <c r="K19" s="2"/>
      <c r="M19" s="60"/>
      <c r="N19" s="60"/>
      <c r="O19" s="60"/>
      <c r="P19" s="60"/>
      <c r="Q19" s="60"/>
      <c r="R19" s="60"/>
      <c r="S19" s="60"/>
      <c r="T19" s="60"/>
      <c r="U19" s="60"/>
      <c r="V19" s="60"/>
      <c r="W19" s="60"/>
      <c r="X19" s="60"/>
      <c r="Y19" s="60"/>
      <c r="Z19" s="60"/>
      <c r="AA19" s="60"/>
      <c r="AB19" s="60"/>
      <c r="AC19" s="60"/>
      <c r="AD19" s="60"/>
      <c r="AE19" s="60"/>
      <c r="AF19" s="60"/>
      <c r="AG19" s="60"/>
      <c r="AH19" s="60"/>
      <c r="AI19" s="60"/>
      <c r="AJ19" s="60"/>
      <c r="AK19" s="60"/>
      <c r="AL19" s="60"/>
      <c r="AM19" s="60"/>
      <c r="AN19" s="60"/>
      <c r="AO19" s="60"/>
      <c r="AP19" s="60"/>
      <c r="AQ19" s="60"/>
      <c r="AR19" s="60"/>
      <c r="AS19" s="60"/>
      <c r="AT19" s="60"/>
      <c r="AU19" s="60"/>
      <c r="AV19" s="60"/>
      <c r="AW19" s="60"/>
      <c r="AX19" s="60"/>
      <c r="AY19" s="60"/>
      <c r="AZ19" s="60"/>
      <c r="BA19" s="60"/>
      <c r="BB19" s="60"/>
      <c r="BC19" s="60"/>
      <c r="BD19" s="60"/>
      <c r="BE19" s="60"/>
      <c r="BF19" s="60"/>
      <c r="BG19" s="60"/>
      <c r="BH19" s="60"/>
      <c r="BI19" s="60"/>
      <c r="BJ19" s="60"/>
      <c r="BK19" s="60"/>
      <c r="BL19" s="60"/>
      <c r="BM19" s="60"/>
      <c r="BN19" s="60"/>
      <c r="BO19" s="60"/>
      <c r="BP19" s="60"/>
      <c r="BQ19" s="60"/>
      <c r="BR19" s="60"/>
      <c r="BS19" s="60"/>
      <c r="BT19" s="60"/>
      <c r="BU19" s="60"/>
      <c r="BV19" s="60"/>
      <c r="BW19" s="60"/>
      <c r="BX19" s="60"/>
      <c r="BY19" s="60"/>
      <c r="BZ19" s="60"/>
      <c r="CA19" s="60"/>
      <c r="CB19" s="60"/>
      <c r="CC19" s="60"/>
      <c r="CD19" s="60"/>
      <c r="CE19" s="60"/>
      <c r="CF19" s="60"/>
    </row>
    <row r="20" spans="1:84" s="70" customFormat="1" ht="15.75" x14ac:dyDescent="0.25">
      <c r="A20" s="59" t="s">
        <v>102</v>
      </c>
      <c r="B20" s="2"/>
      <c r="C20" s="2"/>
      <c r="D20" s="2"/>
      <c r="E20" s="73"/>
      <c r="F20" s="2"/>
      <c r="G20" s="2"/>
      <c r="H20" s="126"/>
      <c r="I20" s="126"/>
      <c r="J20" s="2"/>
      <c r="K20" s="74"/>
      <c r="L20" s="1"/>
      <c r="M20" s="60"/>
      <c r="N20" s="60"/>
      <c r="O20" s="60"/>
      <c r="P20" s="60"/>
      <c r="Q20" s="60"/>
      <c r="R20" s="60"/>
      <c r="S20" s="60"/>
      <c r="T20" s="60"/>
      <c r="U20" s="60"/>
      <c r="V20" s="60"/>
      <c r="W20" s="60"/>
      <c r="X20" s="60"/>
      <c r="Y20" s="60"/>
      <c r="Z20" s="60"/>
      <c r="AA20" s="60"/>
      <c r="AB20" s="60"/>
      <c r="AC20" s="60"/>
      <c r="AD20" s="60"/>
      <c r="AE20" s="60"/>
      <c r="AF20" s="60"/>
      <c r="AG20" s="60"/>
      <c r="AH20" s="60"/>
      <c r="AI20" s="60"/>
      <c r="AJ20" s="60"/>
      <c r="AK20" s="60"/>
      <c r="AL20" s="60"/>
      <c r="AM20" s="60"/>
      <c r="AN20" s="60"/>
      <c r="AO20" s="60"/>
      <c r="AP20" s="60"/>
      <c r="AQ20" s="60"/>
      <c r="AR20" s="60"/>
      <c r="AS20" s="60"/>
      <c r="AT20" s="60"/>
      <c r="AU20" s="60"/>
      <c r="AV20" s="60"/>
      <c r="AW20" s="60"/>
      <c r="AX20" s="60"/>
      <c r="AY20" s="60"/>
      <c r="AZ20" s="60"/>
      <c r="BA20" s="60"/>
      <c r="BB20" s="60"/>
      <c r="BC20" s="60"/>
      <c r="BD20" s="60"/>
      <c r="BE20" s="60"/>
      <c r="BF20" s="60"/>
      <c r="BG20" s="60"/>
      <c r="BH20" s="60"/>
      <c r="BI20" s="60"/>
      <c r="BJ20" s="60"/>
      <c r="BK20" s="60"/>
      <c r="BL20" s="60"/>
      <c r="BM20" s="60"/>
      <c r="BN20" s="60"/>
      <c r="BO20" s="60"/>
      <c r="BP20" s="60"/>
      <c r="BQ20" s="60"/>
      <c r="BR20" s="60"/>
      <c r="BS20" s="60"/>
      <c r="BT20" s="60"/>
      <c r="BU20" s="60"/>
      <c r="BV20" s="60"/>
      <c r="BW20" s="60"/>
      <c r="BX20" s="60"/>
      <c r="BY20" s="60"/>
      <c r="BZ20" s="60"/>
      <c r="CA20" s="60"/>
      <c r="CB20" s="60"/>
      <c r="CC20" s="60"/>
      <c r="CD20" s="60"/>
      <c r="CE20" s="60"/>
      <c r="CF20" s="60"/>
    </row>
    <row r="21" spans="1:84" ht="15.75" x14ac:dyDescent="0.25">
      <c r="A21" s="11" t="s">
        <v>99</v>
      </c>
      <c r="B21" s="2"/>
      <c r="C21" s="2"/>
      <c r="D21" s="2"/>
      <c r="E21" s="2"/>
      <c r="F21" s="2"/>
      <c r="G21" s="2"/>
      <c r="H21" s="126"/>
      <c r="I21" s="126"/>
      <c r="J21" s="2"/>
      <c r="K21" s="2"/>
    </row>
    <row r="22" spans="1:84" ht="15.75" x14ac:dyDescent="0.25">
      <c r="A22" s="11"/>
      <c r="B22" s="2"/>
      <c r="C22" s="2"/>
      <c r="D22" s="2"/>
      <c r="E22" s="2"/>
      <c r="F22" s="2"/>
      <c r="G22" s="2"/>
      <c r="H22" s="126"/>
      <c r="I22" s="126"/>
      <c r="J22" s="75"/>
      <c r="K22" s="2"/>
    </row>
    <row r="23" spans="1:84" ht="15.75" x14ac:dyDescent="0.25">
      <c r="A23" s="2"/>
      <c r="B23" s="2"/>
      <c r="C23" s="2"/>
      <c r="D23" s="5" t="s">
        <v>5</v>
      </c>
      <c r="G23" s="2"/>
      <c r="H23" s="126"/>
      <c r="I23" s="126"/>
    </row>
    <row r="24" spans="1:84" ht="15.75" x14ac:dyDescent="0.25">
      <c r="A24" s="2"/>
      <c r="B24" s="2"/>
      <c r="C24" s="2"/>
      <c r="D24" s="17" t="s">
        <v>100</v>
      </c>
      <c r="E24" s="112"/>
      <c r="G24" s="2"/>
      <c r="H24" s="126"/>
      <c r="I24" s="126"/>
    </row>
    <row r="25" spans="1:84" ht="15.75" x14ac:dyDescent="0.25">
      <c r="A25" s="101">
        <v>3</v>
      </c>
      <c r="B25" s="76"/>
      <c r="C25" s="2" t="str">
        <f>" - "&amp;UPPER(MID(TEXT(EDATE($A$1,A25),"mmm/yyy"),1,1))&amp;MID(TEXT(EDATE($A$1,A25),"mmm/yyy"),2,LEN($A$1)+2)&amp;":"</f>
        <v xml:space="preserve"> - Dic/2026:</v>
      </c>
      <c r="D25" s="9" t="s">
        <v>257</v>
      </c>
      <c r="E25" s="115"/>
      <c r="G25" s="2"/>
      <c r="H25" s="126"/>
      <c r="I25" s="126"/>
    </row>
    <row r="26" spans="1:84" ht="15.75" x14ac:dyDescent="0.25">
      <c r="A26" s="101">
        <v>6</v>
      </c>
      <c r="C26" s="2" t="str">
        <f t="shared" ref="C26:C30" si="0">" - "&amp;UPPER(MID(TEXT(EDATE($A$1,A26),"mmm/yyy"),1,1))&amp;MID(TEXT(EDATE($A$1,A26),"mmm/yyy"),2,LEN($A$1)+2)&amp;":"</f>
        <v xml:space="preserve"> - Mar/2027:</v>
      </c>
      <c r="D26" s="4" t="s">
        <v>256</v>
      </c>
      <c r="E26" s="112"/>
      <c r="G26" s="2"/>
      <c r="H26" s="126"/>
      <c r="I26" s="126"/>
    </row>
    <row r="27" spans="1:84" ht="15.75" x14ac:dyDescent="0.25">
      <c r="A27" s="101">
        <v>9</v>
      </c>
      <c r="C27" s="2" t="str">
        <f t="shared" si="0"/>
        <v xml:space="preserve"> - Jun/2027:</v>
      </c>
      <c r="D27" s="4" t="s">
        <v>256</v>
      </c>
      <c r="E27" s="112"/>
      <c r="G27" s="2"/>
      <c r="H27" s="126"/>
      <c r="I27" s="126"/>
    </row>
    <row r="28" spans="1:84" ht="15.75" x14ac:dyDescent="0.25">
      <c r="A28" s="101">
        <v>12</v>
      </c>
      <c r="C28" s="2" t="str">
        <f t="shared" si="0"/>
        <v xml:space="preserve"> - Sep/2027:</v>
      </c>
      <c r="D28" s="4" t="s">
        <v>256</v>
      </c>
      <c r="E28" s="112"/>
      <c r="G28" s="2"/>
      <c r="H28" s="126"/>
      <c r="I28" s="126"/>
    </row>
    <row r="29" spans="1:84" ht="15.75" x14ac:dyDescent="0.25">
      <c r="A29" s="101">
        <v>24</v>
      </c>
      <c r="C29" s="2" t="str">
        <f t="shared" si="0"/>
        <v xml:space="preserve"> - Sep/2028:</v>
      </c>
      <c r="D29" s="20" t="s">
        <v>258</v>
      </c>
      <c r="E29" s="112"/>
      <c r="G29" s="2"/>
      <c r="H29" s="126"/>
      <c r="I29" s="126"/>
    </row>
    <row r="30" spans="1:84" ht="15.75" x14ac:dyDescent="0.25">
      <c r="A30" s="101">
        <v>60</v>
      </c>
      <c r="C30" s="2" t="str">
        <f t="shared" si="0"/>
        <v xml:space="preserve"> - Sep/2031:</v>
      </c>
      <c r="D30" s="20">
        <v>6</v>
      </c>
      <c r="E30" s="112"/>
      <c r="H30" s="126"/>
      <c r="I30" s="126"/>
      <c r="J30" s="2"/>
      <c r="K30" s="2"/>
    </row>
    <row r="31" spans="1:84" ht="15.75" x14ac:dyDescent="0.25">
      <c r="A31" s="2"/>
      <c r="B31" s="2"/>
      <c r="C31" s="2"/>
      <c r="H31" s="126"/>
      <c r="I31" s="126"/>
      <c r="J31" s="2"/>
      <c r="K31" s="2"/>
    </row>
    <row r="32" spans="1:84" ht="15.75" x14ac:dyDescent="0.25">
      <c r="A32" s="11" t="s">
        <v>158</v>
      </c>
      <c r="B32" s="2"/>
      <c r="C32" s="2"/>
      <c r="D32" s="2"/>
      <c r="E32" s="2"/>
      <c r="G32" s="2"/>
      <c r="H32" s="126"/>
      <c r="I32" s="126"/>
      <c r="J32" s="2"/>
      <c r="K32" s="2"/>
    </row>
    <row r="33" spans="1:11" ht="15.75" x14ac:dyDescent="0.25">
      <c r="A33" s="11"/>
      <c r="B33" s="2"/>
      <c r="C33" s="2"/>
      <c r="D33" s="2"/>
      <c r="E33" s="2"/>
      <c r="H33" s="126"/>
      <c r="I33" s="126"/>
      <c r="J33" s="2"/>
      <c r="K33" s="2"/>
    </row>
    <row r="34" spans="1:11" ht="15.75" x14ac:dyDescent="0.25">
      <c r="A34" s="11"/>
      <c r="B34" s="2"/>
      <c r="C34" s="2"/>
      <c r="D34" s="85" t="s">
        <v>7</v>
      </c>
      <c r="E34" s="5" t="s">
        <v>8</v>
      </c>
      <c r="G34" s="2"/>
      <c r="H34" s="126"/>
      <c r="I34" s="126"/>
      <c r="J34" s="2"/>
      <c r="K34" s="2"/>
    </row>
    <row r="35" spans="1:11" ht="15.75" x14ac:dyDescent="0.25">
      <c r="A35" s="11"/>
      <c r="C35" s="2" t="str">
        <f>+IF(MONTH($A$1)=12," - Año "&amp;(TEXT($A$1,"yyy")+1)," - Año "&amp;TEXT($A$1,"yyy"))</f>
        <v xml:space="preserve"> - Año 2026</v>
      </c>
      <c r="D35" s="4" t="s">
        <v>257</v>
      </c>
      <c r="E35" s="4"/>
      <c r="F35" s="77"/>
      <c r="G35" s="2"/>
      <c r="H35" s="126"/>
      <c r="I35" s="126"/>
      <c r="J35" s="2"/>
      <c r="K35" s="2"/>
    </row>
    <row r="36" spans="1:11" ht="15.75" x14ac:dyDescent="0.25">
      <c r="A36" s="11"/>
      <c r="C36" s="2" t="str">
        <f>+IF(MONTH($A$1)=12," - Año "&amp;(TEXT($A$1,"yyy")+2)," - Año "&amp;TEXT($A$1,"yyy")+1)</f>
        <v xml:space="preserve"> - Año 2027</v>
      </c>
      <c r="D36" s="4" t="s">
        <v>259</v>
      </c>
      <c r="E36" s="87"/>
      <c r="G36" s="2"/>
      <c r="H36" s="126"/>
      <c r="I36" s="126"/>
      <c r="J36" s="2"/>
      <c r="K36" s="2"/>
    </row>
    <row r="37" spans="1:11" ht="15.75" x14ac:dyDescent="0.25">
      <c r="A37" s="11"/>
      <c r="C37" s="2"/>
      <c r="D37" s="10"/>
      <c r="G37" s="2"/>
      <c r="H37" s="126"/>
      <c r="I37" s="126"/>
      <c r="J37" s="2"/>
      <c r="K37" s="2"/>
    </row>
    <row r="38" spans="1:11" ht="15.75" x14ac:dyDescent="0.25">
      <c r="A38" s="67" t="s">
        <v>132</v>
      </c>
      <c r="B38" s="3"/>
      <c r="C38" s="3"/>
      <c r="D38" s="2"/>
      <c r="E38" s="2"/>
      <c r="F38" s="2"/>
      <c r="G38" s="2"/>
      <c r="H38" s="126"/>
      <c r="I38" s="126"/>
      <c r="J38" s="2"/>
      <c r="K38" s="2"/>
    </row>
    <row r="39" spans="1:11" ht="15.75" x14ac:dyDescent="0.25">
      <c r="A39" s="11"/>
      <c r="B39" s="2"/>
      <c r="C39" s="2"/>
      <c r="D39" s="2"/>
      <c r="E39" s="2"/>
      <c r="F39" s="2"/>
      <c r="G39" s="2"/>
      <c r="H39" s="126"/>
      <c r="I39" s="126"/>
      <c r="J39" s="2"/>
      <c r="K39" s="2"/>
    </row>
    <row r="40" spans="1:11" ht="15.75" x14ac:dyDescent="0.25">
      <c r="A40" s="11" t="s">
        <v>133</v>
      </c>
      <c r="B40" s="2"/>
      <c r="C40" s="2"/>
      <c r="D40" s="2"/>
      <c r="E40" s="2"/>
      <c r="F40" s="2"/>
      <c r="G40" s="2"/>
      <c r="H40" s="126"/>
      <c r="I40" s="126"/>
      <c r="J40" s="2"/>
      <c r="K40" s="2"/>
    </row>
    <row r="41" spans="1:11" ht="15.75" x14ac:dyDescent="0.25">
      <c r="A41" s="11"/>
      <c r="B41" s="2"/>
      <c r="C41" s="2"/>
      <c r="D41" s="2"/>
      <c r="E41" s="2"/>
      <c r="F41" s="2"/>
      <c r="G41" s="2"/>
      <c r="H41" s="126"/>
      <c r="I41" s="126"/>
      <c r="J41" s="2"/>
      <c r="K41" s="2"/>
    </row>
    <row r="42" spans="1:11" ht="15.75" x14ac:dyDescent="0.25">
      <c r="A42" s="2"/>
      <c r="B42" s="2"/>
      <c r="C42" s="2"/>
      <c r="D42" s="13" t="s">
        <v>6</v>
      </c>
      <c r="E42" s="12"/>
      <c r="F42" s="12"/>
      <c r="G42" s="12"/>
      <c r="H42" s="126"/>
      <c r="I42" s="126"/>
      <c r="J42" s="12"/>
      <c r="K42" s="2"/>
    </row>
    <row r="43" spans="1:11" ht="15.75" x14ac:dyDescent="0.25">
      <c r="A43" s="11"/>
      <c r="B43" s="2"/>
      <c r="C43" s="2"/>
      <c r="D43" s="88" t="s">
        <v>9</v>
      </c>
      <c r="E43" s="88"/>
      <c r="F43" s="88"/>
      <c r="G43" s="16"/>
      <c r="H43" s="126"/>
      <c r="I43" s="126"/>
      <c r="J43" s="2"/>
      <c r="K43" s="2"/>
    </row>
    <row r="44" spans="1:11" ht="15.75" x14ac:dyDescent="0.25">
      <c r="A44" s="11"/>
      <c r="B44" s="2"/>
      <c r="C44" s="2"/>
      <c r="D44" s="17" t="s">
        <v>10</v>
      </c>
      <c r="E44" s="17" t="s">
        <v>11</v>
      </c>
      <c r="F44" s="17" t="s">
        <v>12</v>
      </c>
      <c r="G44" s="97" t="s">
        <v>13</v>
      </c>
      <c r="H44" s="126"/>
      <c r="I44" s="126"/>
      <c r="J44" s="2"/>
      <c r="K44" s="2"/>
    </row>
    <row r="45" spans="1:11" ht="15.75" x14ac:dyDescent="0.25">
      <c r="A45" s="11"/>
      <c r="B45" s="2"/>
      <c r="C45" s="2"/>
      <c r="D45" s="18"/>
      <c r="E45" s="7"/>
      <c r="F45" s="7" t="s">
        <v>14</v>
      </c>
      <c r="G45" s="95" t="s">
        <v>15</v>
      </c>
      <c r="H45" s="126"/>
      <c r="I45" s="126"/>
      <c r="J45" s="2"/>
      <c r="K45" s="2"/>
    </row>
    <row r="46" spans="1:11" ht="15.75" x14ac:dyDescent="0.25">
      <c r="A46" s="2"/>
      <c r="C46" s="2" t="s">
        <v>122</v>
      </c>
      <c r="D46" s="15"/>
      <c r="E46" s="15"/>
      <c r="F46" s="15" t="s">
        <v>102</v>
      </c>
      <c r="G46" s="96"/>
      <c r="H46" s="126"/>
      <c r="I46" s="126"/>
      <c r="J46" s="2"/>
      <c r="K46" s="2"/>
    </row>
    <row r="47" spans="1:11" ht="15.75" x14ac:dyDescent="0.25">
      <c r="A47" s="2"/>
      <c r="B47" s="2"/>
      <c r="C47" s="2"/>
      <c r="D47" s="2"/>
      <c r="E47" s="2"/>
      <c r="F47" s="10"/>
      <c r="G47" s="10"/>
      <c r="H47" s="126"/>
      <c r="I47" s="126"/>
      <c r="J47" s="2"/>
      <c r="K47" s="2"/>
    </row>
    <row r="48" spans="1:11" ht="15.75" x14ac:dyDescent="0.25">
      <c r="A48" s="2" t="str">
        <f>"P4: ¿Cómo cree usted que se mantendrá durante los próximos seis meses ("&amp;UPPER(MID(TEXT(EDATE($A$1,1),"mmm./yyy"),1,1))&amp;MID(TEXT(EDATE($A$1,1),"mmm./yyy"),2,LEN(A1)+3)&amp;" - "&amp;UPPER(MID(TEXT(EDATE($A$1,6),"mmm./yyy"),1,1))&amp;MID(TEXT(EDATE($A$1,6),"mmm./yyy"),2,LEN(A1)+3)&amp;"):"</f>
        <v>P4: ¿Cómo cree usted que se mantendrá durante los próximos seis meses (Oct./2026 - Mar./2027):</v>
      </c>
      <c r="B48" s="2"/>
      <c r="C48" s="2"/>
      <c r="D48" s="2"/>
      <c r="E48" s="2"/>
      <c r="F48" s="2"/>
      <c r="G48" s="2"/>
      <c r="H48" s="126"/>
      <c r="I48" s="126"/>
      <c r="J48" s="2"/>
      <c r="K48" s="2"/>
    </row>
    <row r="49" spans="1:11" ht="15.75" x14ac:dyDescent="0.25">
      <c r="A49" s="2"/>
      <c r="B49" s="2"/>
      <c r="C49" s="2"/>
      <c r="D49" s="2"/>
      <c r="E49" s="2"/>
      <c r="F49" s="2"/>
      <c r="G49" s="2"/>
      <c r="H49" s="126"/>
      <c r="I49" s="126"/>
      <c r="J49" s="2"/>
      <c r="K49" s="2"/>
    </row>
    <row r="50" spans="1:11" ht="15.75" x14ac:dyDescent="0.25">
      <c r="A50" s="2"/>
      <c r="B50" s="2"/>
      <c r="C50" s="2"/>
      <c r="D50" s="13" t="s">
        <v>6</v>
      </c>
      <c r="E50" s="12"/>
      <c r="F50" s="12"/>
      <c r="G50" s="12"/>
      <c r="H50" s="126"/>
      <c r="I50" s="126"/>
      <c r="J50" s="2"/>
      <c r="K50" s="2"/>
    </row>
    <row r="51" spans="1:11" ht="15.75" x14ac:dyDescent="0.25">
      <c r="A51" s="2"/>
      <c r="B51" s="2"/>
      <c r="C51" s="2"/>
      <c r="D51" s="6" t="s">
        <v>9</v>
      </c>
      <c r="E51" s="98"/>
      <c r="F51" s="88"/>
      <c r="G51" s="16"/>
      <c r="H51" s="126"/>
      <c r="I51" s="126"/>
      <c r="J51" s="2"/>
      <c r="K51" s="2"/>
    </row>
    <row r="52" spans="1:11" ht="15.75" x14ac:dyDescent="0.25">
      <c r="A52" s="11"/>
      <c r="B52" s="2"/>
      <c r="C52" s="2"/>
      <c r="D52" s="94" t="s">
        <v>16</v>
      </c>
      <c r="E52" s="17" t="s">
        <v>17</v>
      </c>
      <c r="F52" s="17" t="s">
        <v>18</v>
      </c>
      <c r="G52" s="97" t="s">
        <v>13</v>
      </c>
      <c r="H52" s="126"/>
      <c r="I52" s="126"/>
      <c r="J52" s="2"/>
      <c r="K52" s="2"/>
    </row>
    <row r="53" spans="1:11" ht="15.75" x14ac:dyDescent="0.25">
      <c r="A53" s="2"/>
      <c r="B53" s="2"/>
      <c r="C53" s="2"/>
      <c r="D53" s="94" t="s">
        <v>19</v>
      </c>
      <c r="E53" s="17" t="s">
        <v>19</v>
      </c>
      <c r="F53" s="17" t="s">
        <v>20</v>
      </c>
      <c r="G53" s="97" t="s">
        <v>15</v>
      </c>
      <c r="H53" s="126"/>
      <c r="I53" s="126"/>
      <c r="J53" s="2"/>
      <c r="K53" s="2"/>
    </row>
    <row r="54" spans="1:11" ht="15.75" x14ac:dyDescent="0.25">
      <c r="A54" s="2"/>
      <c r="C54" s="2" t="s">
        <v>123</v>
      </c>
      <c r="D54" s="99"/>
      <c r="E54" s="4"/>
      <c r="F54" s="4" t="s">
        <v>102</v>
      </c>
      <c r="G54" s="100"/>
      <c r="H54" s="126"/>
      <c r="I54" s="126"/>
      <c r="J54" s="2"/>
      <c r="K54" s="2"/>
    </row>
    <row r="55" spans="1:11" ht="15.75" x14ac:dyDescent="0.25">
      <c r="A55" s="2"/>
      <c r="C55" s="2"/>
      <c r="D55" s="10"/>
      <c r="E55" s="10"/>
      <c r="F55" s="10"/>
      <c r="G55" s="10"/>
      <c r="H55" s="126"/>
      <c r="I55" s="126"/>
      <c r="J55" s="2"/>
      <c r="K55" s="2"/>
    </row>
    <row r="56" spans="1:11" ht="15.75" x14ac:dyDescent="0.25">
      <c r="A56" s="67" t="s">
        <v>134</v>
      </c>
      <c r="B56" s="3"/>
      <c r="C56" s="3"/>
      <c r="D56" s="3"/>
      <c r="E56" s="3"/>
      <c r="F56" s="3"/>
      <c r="G56" s="3"/>
      <c r="H56" s="126"/>
      <c r="I56" s="126"/>
      <c r="J56" s="2"/>
      <c r="K56" s="2"/>
    </row>
    <row r="57" spans="1:11" ht="15.75" x14ac:dyDescent="0.25">
      <c r="A57" s="3" t="s">
        <v>177</v>
      </c>
      <c r="B57" s="3"/>
      <c r="C57" s="3"/>
      <c r="D57" s="3"/>
      <c r="E57" s="3"/>
      <c r="F57" s="3"/>
      <c r="G57" s="3"/>
      <c r="H57" s="126"/>
      <c r="I57" s="126"/>
      <c r="J57" s="2"/>
      <c r="K57" s="2"/>
    </row>
    <row r="58" spans="1:11" ht="15.75" x14ac:dyDescent="0.25">
      <c r="A58" s="3" t="s">
        <v>176</v>
      </c>
      <c r="B58" s="3"/>
      <c r="C58" s="3"/>
      <c r="D58" s="67" t="str">
        <f>+"A "&amp;LOWER(TEXT($A$1,"mmmm"))&amp;" de "&amp;TEXT($A$1,"yyy")&amp;" el IBR a un mes efectivo anual se situó en : "</f>
        <v xml:space="preserve">A septiembre de 2026 el IBR a un mes efectivo anual se situó en : </v>
      </c>
      <c r="E58" s="3"/>
      <c r="F58" s="3"/>
      <c r="G58" s="71">
        <f>IFERROR(IF(VLOOKUP($A$1,Mes!$A:$E,3,0)=0,"99999",VLOOKUP($A$1,Mes!$A:$E,3,0)/100),"99999")</f>
        <v>0.12243</v>
      </c>
      <c r="H58" s="126"/>
      <c r="I58" s="126"/>
      <c r="J58" s="2"/>
      <c r="K58" s="2"/>
    </row>
    <row r="59" spans="1:11" ht="15.75" x14ac:dyDescent="0.25">
      <c r="A59" s="11"/>
      <c r="B59" s="2"/>
      <c r="C59" s="2"/>
      <c r="D59" s="2"/>
      <c r="E59" s="2"/>
      <c r="F59" s="79"/>
      <c r="G59" s="73"/>
      <c r="H59" s="126"/>
      <c r="I59" s="126"/>
      <c r="J59" s="2"/>
      <c r="K59" s="2"/>
    </row>
    <row r="60" spans="1:11" ht="18.75" x14ac:dyDescent="0.25">
      <c r="A60" s="11" t="s">
        <v>173</v>
      </c>
      <c r="B60" s="2"/>
      <c r="C60" s="2"/>
      <c r="D60" s="2"/>
      <c r="E60" s="2"/>
      <c r="F60" s="2"/>
      <c r="G60" s="2"/>
      <c r="H60" s="126"/>
      <c r="I60" s="126"/>
      <c r="J60" s="2"/>
      <c r="K60" s="2"/>
    </row>
    <row r="61" spans="1:11" ht="15.75" x14ac:dyDescent="0.25">
      <c r="A61" s="2"/>
      <c r="B61" s="2"/>
      <c r="C61" s="2"/>
      <c r="D61" s="2"/>
      <c r="E61" s="2"/>
      <c r="F61" s="2"/>
      <c r="G61" s="2"/>
      <c r="H61" s="126"/>
      <c r="I61" s="126"/>
      <c r="J61" s="2"/>
      <c r="K61" s="2"/>
    </row>
    <row r="62" spans="1:11" ht="15.75" x14ac:dyDescent="0.25">
      <c r="A62" s="2"/>
      <c r="B62" s="2"/>
      <c r="C62" s="2"/>
      <c r="D62" s="10"/>
      <c r="E62" s="10"/>
      <c r="F62" s="10"/>
      <c r="H62" s="126"/>
      <c r="I62" s="126"/>
      <c r="J62" s="2"/>
      <c r="K62" s="2"/>
    </row>
    <row r="63" spans="1:11" ht="15.75" x14ac:dyDescent="0.25">
      <c r="A63" s="2"/>
      <c r="B63" s="2"/>
      <c r="C63" s="2"/>
      <c r="D63" s="5" t="s">
        <v>21</v>
      </c>
      <c r="E63" s="14"/>
      <c r="G63" s="2"/>
      <c r="H63" s="126"/>
      <c r="I63" s="126"/>
    </row>
    <row r="64" spans="1:11" ht="15.75" x14ac:dyDescent="0.25">
      <c r="A64" s="2"/>
      <c r="B64" s="2"/>
      <c r="C64" s="2"/>
      <c r="D64" s="7" t="s">
        <v>151</v>
      </c>
      <c r="E64" s="14"/>
      <c r="G64" s="2"/>
      <c r="H64" s="126"/>
      <c r="I64" s="126"/>
    </row>
    <row r="65" spans="1:11" ht="15.75" x14ac:dyDescent="0.25">
      <c r="A65" s="59"/>
      <c r="C65" s="2" t="str">
        <f>C25</f>
        <v xml:space="preserve"> - Dic/2026:</v>
      </c>
      <c r="D65" s="4" t="s">
        <v>260</v>
      </c>
      <c r="E65" s="23"/>
      <c r="G65" s="2"/>
      <c r="H65" s="126"/>
      <c r="I65" s="126"/>
    </row>
    <row r="66" spans="1:11" ht="15.75" x14ac:dyDescent="0.25">
      <c r="A66" s="59">
        <v>6</v>
      </c>
      <c r="C66" s="2" t="str">
        <f>C26</f>
        <v xml:space="preserve"> - Mar/2027:</v>
      </c>
      <c r="D66" s="4" t="s">
        <v>261</v>
      </c>
      <c r="E66" s="23"/>
      <c r="G66" s="2"/>
      <c r="H66" s="126"/>
      <c r="I66" s="126"/>
    </row>
    <row r="67" spans="1:11" ht="15.75" x14ac:dyDescent="0.25">
      <c r="A67" s="59">
        <v>9</v>
      </c>
      <c r="C67" s="2" t="str">
        <f>C27</f>
        <v xml:space="preserve"> - Jun/2027:</v>
      </c>
      <c r="D67" s="4" t="s">
        <v>262</v>
      </c>
      <c r="E67" s="23"/>
      <c r="G67" s="2"/>
      <c r="H67" s="126"/>
      <c r="I67" s="126"/>
    </row>
    <row r="68" spans="1:11" ht="15.75" x14ac:dyDescent="0.25">
      <c r="A68" s="59">
        <v>12</v>
      </c>
      <c r="C68" s="2" t="str">
        <f>C28</f>
        <v xml:space="preserve"> - Sep/2027:</v>
      </c>
      <c r="D68" s="4" t="s">
        <v>260</v>
      </c>
      <c r="E68" s="23"/>
      <c r="G68" s="2"/>
      <c r="H68" s="126"/>
      <c r="I68" s="126"/>
    </row>
    <row r="69" spans="1:11" ht="15.75" x14ac:dyDescent="0.25">
      <c r="A69" s="11"/>
      <c r="B69" s="2"/>
      <c r="C69" s="2"/>
      <c r="D69" s="2"/>
      <c r="E69" s="2"/>
      <c r="F69" s="2"/>
      <c r="G69" s="2"/>
      <c r="H69" s="126"/>
      <c r="I69" s="126"/>
      <c r="J69" s="2"/>
      <c r="K69" s="2"/>
    </row>
    <row r="70" spans="1:11" ht="15.75" x14ac:dyDescent="0.25">
      <c r="A70" s="11" t="s">
        <v>172</v>
      </c>
      <c r="B70" s="2"/>
      <c r="C70" s="2"/>
      <c r="D70" s="2"/>
      <c r="E70" s="2"/>
      <c r="F70" s="2"/>
      <c r="G70" s="2"/>
      <c r="H70" s="126"/>
      <c r="I70" s="126"/>
      <c r="J70" s="2"/>
      <c r="K70" s="2"/>
    </row>
    <row r="71" spans="1:11" ht="15.75" x14ac:dyDescent="0.25">
      <c r="A71" s="2"/>
      <c r="B71" s="2"/>
      <c r="C71" s="2"/>
      <c r="D71" s="2"/>
      <c r="E71" s="2"/>
      <c r="F71" s="2"/>
      <c r="G71" s="2"/>
      <c r="H71" s="126"/>
      <c r="I71" s="126"/>
      <c r="J71" s="2"/>
      <c r="K71" s="2"/>
    </row>
    <row r="72" spans="1:11" ht="15.75" x14ac:dyDescent="0.25">
      <c r="A72" s="2"/>
      <c r="B72" s="2"/>
      <c r="C72" s="2"/>
      <c r="D72" s="22" t="s">
        <v>22</v>
      </c>
      <c r="E72" s="2"/>
      <c r="F72" s="2"/>
      <c r="H72" s="126"/>
      <c r="I72" s="126"/>
    </row>
    <row r="73" spans="1:11" ht="15.75" x14ac:dyDescent="0.25">
      <c r="A73" s="2"/>
      <c r="B73" s="2"/>
      <c r="C73" s="2"/>
      <c r="D73" s="21" t="s">
        <v>101</v>
      </c>
      <c r="E73" s="2"/>
      <c r="F73" s="2"/>
      <c r="H73" s="126"/>
      <c r="I73" s="126"/>
    </row>
    <row r="74" spans="1:11" ht="15.75" x14ac:dyDescent="0.25">
      <c r="A74" s="2"/>
      <c r="C74" s="2" t="str">
        <f>C25</f>
        <v xml:space="preserve"> - Dic/2026:</v>
      </c>
      <c r="D74" s="153">
        <v>3500</v>
      </c>
      <c r="E74" s="23"/>
      <c r="F74" s="2"/>
      <c r="H74" s="126"/>
      <c r="I74" s="126"/>
    </row>
    <row r="75" spans="1:11" ht="15.75" x14ac:dyDescent="0.25">
      <c r="A75" s="2"/>
      <c r="C75" s="2" t="str">
        <f t="shared" ref="C75:C77" si="1">C26</f>
        <v xml:space="preserve"> - Mar/2027:</v>
      </c>
      <c r="D75" s="154">
        <v>3200</v>
      </c>
      <c r="E75" s="23"/>
      <c r="F75" s="2"/>
      <c r="H75" s="126"/>
      <c r="I75" s="126"/>
    </row>
    <row r="76" spans="1:11" ht="15.75" x14ac:dyDescent="0.25">
      <c r="A76" s="2"/>
      <c r="C76" s="2" t="str">
        <f t="shared" si="1"/>
        <v xml:space="preserve"> - Jun/2027:</v>
      </c>
      <c r="D76" s="154">
        <v>3700</v>
      </c>
      <c r="E76" s="23"/>
      <c r="F76" s="2"/>
      <c r="H76" s="126"/>
      <c r="I76" s="126"/>
    </row>
    <row r="77" spans="1:11" ht="15.75" x14ac:dyDescent="0.25">
      <c r="A77" s="2"/>
      <c r="C77" s="2" t="str">
        <f t="shared" si="1"/>
        <v xml:space="preserve"> - Sep/2027:</v>
      </c>
      <c r="D77" s="154">
        <v>3200</v>
      </c>
      <c r="E77" s="23"/>
      <c r="F77" s="2"/>
      <c r="H77" s="126"/>
      <c r="I77" s="126"/>
    </row>
    <row r="78" spans="1:11" ht="15.75" x14ac:dyDescent="0.25">
      <c r="A78" s="2"/>
      <c r="B78" s="2"/>
      <c r="C78" s="2"/>
      <c r="D78" s="2"/>
      <c r="E78" s="2"/>
      <c r="F78" s="2"/>
      <c r="G78" s="2"/>
      <c r="H78" s="126"/>
      <c r="I78" s="126"/>
      <c r="J78" s="2"/>
      <c r="K78" s="2"/>
    </row>
    <row r="79" spans="1:11" ht="15.75" x14ac:dyDescent="0.25">
      <c r="A79" s="67" t="s">
        <v>135</v>
      </c>
      <c r="B79" s="3"/>
      <c r="C79" s="3"/>
      <c r="D79" s="3"/>
      <c r="E79" s="3"/>
      <c r="F79" s="3"/>
      <c r="G79" s="3"/>
      <c r="H79" s="126"/>
      <c r="I79" s="126"/>
      <c r="J79" s="2"/>
      <c r="K79" s="2"/>
    </row>
    <row r="80" spans="1:11" ht="15.75" x14ac:dyDescent="0.25">
      <c r="A80" s="3" t="s">
        <v>96</v>
      </c>
      <c r="B80" s="3"/>
      <c r="C80" s="3"/>
      <c r="D80" s="3"/>
      <c r="E80" s="3"/>
      <c r="F80" s="3"/>
      <c r="G80" s="3"/>
      <c r="H80" s="126"/>
      <c r="I80" s="126"/>
      <c r="J80" s="2"/>
      <c r="K80" s="2"/>
    </row>
    <row r="81" spans="1:11" ht="15.75" x14ac:dyDescent="0.25">
      <c r="A81" s="3" t="s">
        <v>95</v>
      </c>
      <c r="B81" s="3"/>
      <c r="C81" s="3"/>
      <c r="D81" s="3"/>
      <c r="E81" s="3"/>
      <c r="F81" s="3"/>
      <c r="G81" s="3"/>
      <c r="H81" s="126"/>
      <c r="I81" s="126"/>
      <c r="J81" s="2"/>
      <c r="K81" s="2"/>
    </row>
    <row r="82" spans="1:11" ht="15.75" x14ac:dyDescent="0.25">
      <c r="A82" s="11"/>
      <c r="B82" s="2"/>
      <c r="C82" s="2"/>
      <c r="D82" s="2"/>
      <c r="E82" s="2"/>
      <c r="F82" s="2"/>
      <c r="G82" s="2"/>
      <c r="H82" s="126"/>
      <c r="I82" s="126"/>
      <c r="J82" s="2"/>
      <c r="K82" s="2"/>
    </row>
    <row r="83" spans="1:11" ht="15.75" x14ac:dyDescent="0.25">
      <c r="A83" s="11" t="s">
        <v>136</v>
      </c>
      <c r="B83" s="2"/>
      <c r="C83" s="2"/>
      <c r="D83" s="2"/>
      <c r="E83" s="2"/>
      <c r="F83" s="2"/>
      <c r="G83" s="2"/>
      <c r="H83" s="126"/>
      <c r="I83" s="126"/>
      <c r="J83" s="2"/>
      <c r="K83" s="2"/>
    </row>
    <row r="84" spans="1:11" ht="15.75" x14ac:dyDescent="0.25">
      <c r="A84" s="11"/>
      <c r="B84" s="2"/>
      <c r="C84" s="2"/>
      <c r="D84" s="2"/>
      <c r="E84" s="2"/>
      <c r="F84" s="2"/>
      <c r="G84" s="2"/>
      <c r="H84" s="126"/>
      <c r="I84" s="126"/>
      <c r="J84" s="2"/>
      <c r="K84" s="2"/>
    </row>
    <row r="85" spans="1:11" ht="15.75" x14ac:dyDescent="0.25">
      <c r="A85" s="2"/>
      <c r="B85" s="2"/>
      <c r="C85" s="2"/>
      <c r="D85" s="5" t="s">
        <v>23</v>
      </c>
      <c r="G85" s="2"/>
      <c r="H85" s="126"/>
      <c r="I85" s="126"/>
    </row>
    <row r="86" spans="1:11" ht="15.75" x14ac:dyDescent="0.25">
      <c r="A86" s="2"/>
      <c r="B86" s="2"/>
      <c r="C86" s="2"/>
      <c r="D86" s="7" t="s">
        <v>24</v>
      </c>
      <c r="G86" s="2"/>
      <c r="H86" s="126"/>
      <c r="I86" s="126"/>
    </row>
    <row r="87" spans="1:11" ht="15.75" x14ac:dyDescent="0.25">
      <c r="A87" s="2"/>
      <c r="C87" s="2" t="str">
        <f>C35</f>
        <v xml:space="preserve"> - Año 2026</v>
      </c>
      <c r="D87" s="4" t="s">
        <v>263</v>
      </c>
      <c r="E87" s="61"/>
      <c r="G87" s="2"/>
      <c r="H87" s="126"/>
      <c r="I87" s="126"/>
    </row>
    <row r="88" spans="1:11" ht="15.75" x14ac:dyDescent="0.25">
      <c r="A88" s="2"/>
      <c r="C88" s="2" t="str">
        <f>C36</f>
        <v xml:space="preserve"> - Año 2027</v>
      </c>
      <c r="D88" s="15" t="s">
        <v>264</v>
      </c>
      <c r="E88" s="61"/>
      <c r="G88" s="2"/>
      <c r="H88" s="126"/>
      <c r="I88" s="126"/>
    </row>
    <row r="89" spans="1:11" ht="15.75" x14ac:dyDescent="0.25">
      <c r="A89" s="11"/>
      <c r="B89" s="2"/>
      <c r="C89" s="2"/>
      <c r="D89" s="2"/>
      <c r="E89" s="2"/>
      <c r="F89" s="2"/>
      <c r="G89" s="2"/>
      <c r="H89" s="126"/>
      <c r="I89" s="126"/>
      <c r="J89" s="2"/>
      <c r="K89" s="2"/>
    </row>
    <row r="90" spans="1:11" ht="15.75" x14ac:dyDescent="0.25">
      <c r="A90" s="11" t="s">
        <v>137</v>
      </c>
      <c r="B90" s="2"/>
      <c r="C90" s="2"/>
      <c r="D90" s="2"/>
      <c r="E90" s="2"/>
      <c r="F90" s="2"/>
      <c r="G90" s="2"/>
      <c r="H90" s="126"/>
      <c r="I90" s="126"/>
      <c r="J90" s="2"/>
      <c r="K90" s="2"/>
    </row>
    <row r="91" spans="1:11" ht="15.75" x14ac:dyDescent="0.25">
      <c r="A91" s="2"/>
      <c r="B91" s="2"/>
      <c r="C91" s="2"/>
      <c r="D91" s="2"/>
      <c r="E91" s="2"/>
      <c r="F91" s="2"/>
      <c r="G91" s="2"/>
      <c r="H91" s="126"/>
      <c r="I91" s="126"/>
      <c r="J91" s="2"/>
      <c r="K91" s="2"/>
    </row>
    <row r="92" spans="1:11" ht="15.75" x14ac:dyDescent="0.25">
      <c r="A92" s="2"/>
      <c r="B92" s="2"/>
      <c r="C92" s="2"/>
      <c r="D92" s="13" t="s">
        <v>25</v>
      </c>
      <c r="E92" s="12"/>
      <c r="F92" s="12"/>
      <c r="G92" s="12"/>
      <c r="H92" s="126"/>
      <c r="I92" s="126"/>
      <c r="J92" s="2"/>
      <c r="K92" s="2"/>
    </row>
    <row r="93" spans="1:11" ht="15.75" x14ac:dyDescent="0.25">
      <c r="A93" s="2"/>
      <c r="B93" s="2"/>
      <c r="C93" s="2"/>
      <c r="D93" s="8" t="s">
        <v>26</v>
      </c>
      <c r="E93" s="8" t="s">
        <v>27</v>
      </c>
      <c r="F93" s="8" t="s">
        <v>28</v>
      </c>
      <c r="G93" s="8" t="s">
        <v>8</v>
      </c>
      <c r="H93" s="126"/>
      <c r="I93" s="126"/>
      <c r="J93" s="2"/>
      <c r="K93" s="2"/>
    </row>
    <row r="94" spans="1:11" ht="15.75" x14ac:dyDescent="0.25">
      <c r="A94" s="2"/>
      <c r="B94" s="2" t="str">
        <f>" Período:   ("&amp;UPPER(MID(TEXT(EDATE($A$1,4),"mmm./yyy"),1,1))&amp;MID(TEXT(EDATE($A$1,4),"mmm./yyy"),2,LEN(A1)+3)&amp;" - "&amp;UPPER(MID(TEXT(EDATE($A$1,6),"mmm./yyy"),1,1))&amp;MID(TEXT(EDATE($A$1,6),"mmm./yyy"),2,LEN(A1)+3)&amp;")"</f>
        <v xml:space="preserve"> Período:   (Ene./2027 - Mar./2027)</v>
      </c>
      <c r="C94" s="2"/>
      <c r="D94" s="4"/>
      <c r="E94" s="4" t="s">
        <v>102</v>
      </c>
      <c r="F94" s="4"/>
      <c r="G94" s="4"/>
      <c r="H94" s="126"/>
      <c r="I94" s="126"/>
      <c r="J94" s="2"/>
      <c r="K94" s="2"/>
    </row>
    <row r="95" spans="1:11" ht="15.75" x14ac:dyDescent="0.25">
      <c r="A95" s="2"/>
      <c r="B95" s="2" t="str">
        <f>" Período:   ("&amp;UPPER(MID(TEXT(EDATE($A$1,7),"mmm./yyy"),1,1))&amp;MID(TEXT(EDATE($A$1,7),"mmm./yyy"),2,LEN(A1)+3)&amp;" - "&amp;UPPER(MID(TEXT(EDATE($A$1,12),"mmm./yyy"),1,1))&amp;MID(TEXT(EDATE($A$1,12),"mmm./yyy"),2,LEN(A1)+3)&amp;")"</f>
        <v xml:space="preserve"> Período:   (Abr./2027 - Sep./2027)</v>
      </c>
      <c r="C95" s="2"/>
      <c r="D95" s="4" t="s">
        <v>102</v>
      </c>
      <c r="E95" s="4"/>
      <c r="F95" s="4"/>
      <c r="G95" s="4"/>
      <c r="H95" s="126"/>
      <c r="I95" s="126"/>
      <c r="J95" s="2"/>
      <c r="K95" s="2"/>
    </row>
    <row r="96" spans="1:11" ht="15.75" x14ac:dyDescent="0.25">
      <c r="A96" s="2"/>
      <c r="B96" s="2"/>
      <c r="C96" s="2"/>
      <c r="D96" s="2"/>
      <c r="E96" s="2"/>
      <c r="F96" s="2"/>
      <c r="G96" s="2"/>
      <c r="H96" s="126"/>
      <c r="I96" s="126"/>
      <c r="J96" s="2"/>
      <c r="K96" s="2"/>
    </row>
    <row r="97" spans="1:11" ht="15.75" x14ac:dyDescent="0.25">
      <c r="A97" s="67" t="s">
        <v>159</v>
      </c>
      <c r="B97" s="3"/>
      <c r="C97" s="3"/>
      <c r="D97" s="2"/>
      <c r="E97" s="2"/>
      <c r="F97" s="2"/>
      <c r="G97" s="2"/>
      <c r="H97" s="126"/>
      <c r="I97" s="126"/>
      <c r="J97" s="2"/>
      <c r="K97" s="2"/>
    </row>
    <row r="98" spans="1:11" ht="15.75" x14ac:dyDescent="0.25">
      <c r="A98" s="11"/>
      <c r="B98" s="2"/>
      <c r="C98" s="2"/>
      <c r="D98" s="2"/>
      <c r="E98" s="2"/>
      <c r="F98" s="2"/>
      <c r="G98" s="2"/>
      <c r="H98" s="126"/>
      <c r="I98" s="126"/>
      <c r="J98" s="2"/>
      <c r="K98" s="2"/>
    </row>
    <row r="99" spans="1:11" ht="15.75" x14ac:dyDescent="0.25">
      <c r="A99" s="78" t="s">
        <v>160</v>
      </c>
      <c r="B99" s="2"/>
      <c r="C99" s="2"/>
      <c r="D99" s="2"/>
      <c r="E99" s="2"/>
      <c r="F99" s="2"/>
      <c r="G99" s="2"/>
      <c r="H99" s="126"/>
      <c r="I99" s="126"/>
      <c r="J99" s="2"/>
      <c r="K99" s="2"/>
    </row>
    <row r="100" spans="1:11" ht="15.75" x14ac:dyDescent="0.25">
      <c r="A100" s="11"/>
      <c r="B100" s="2"/>
      <c r="C100" s="2"/>
      <c r="D100" s="5" t="s">
        <v>152</v>
      </c>
      <c r="E100" s="2"/>
      <c r="F100" s="2"/>
      <c r="G100" s="2"/>
      <c r="H100" s="126"/>
      <c r="I100" s="126"/>
      <c r="J100" s="2"/>
      <c r="K100" s="2"/>
    </row>
    <row r="101" spans="1:11" ht="15.75" x14ac:dyDescent="0.25">
      <c r="A101" s="11"/>
      <c r="B101" s="2"/>
      <c r="C101" s="2" t="s">
        <v>179</v>
      </c>
      <c r="D101" s="86"/>
      <c r="E101" s="2"/>
      <c r="F101" s="2"/>
      <c r="G101" s="2"/>
      <c r="H101" s="126"/>
      <c r="I101" s="126"/>
      <c r="J101" s="2"/>
      <c r="K101" s="2"/>
    </row>
    <row r="102" spans="1:11" ht="15.75" x14ac:dyDescent="0.25">
      <c r="A102" s="11"/>
      <c r="B102" s="2"/>
      <c r="C102" s="2" t="s">
        <v>178</v>
      </c>
      <c r="D102" s="86" t="s">
        <v>102</v>
      </c>
      <c r="E102" s="2"/>
      <c r="F102" s="2"/>
      <c r="G102" s="2"/>
      <c r="H102" s="126"/>
      <c r="I102" s="126"/>
      <c r="J102" s="2"/>
      <c r="K102" s="2"/>
    </row>
    <row r="103" spans="1:11" ht="15.75" x14ac:dyDescent="0.25">
      <c r="A103" s="11"/>
      <c r="B103" s="2"/>
      <c r="C103" s="2" t="s">
        <v>153</v>
      </c>
      <c r="D103" s="86"/>
      <c r="E103" s="2"/>
      <c r="F103" s="2"/>
      <c r="G103" s="116"/>
      <c r="H103" s="126"/>
      <c r="I103" s="126"/>
      <c r="J103" s="2"/>
      <c r="K103" s="2"/>
    </row>
    <row r="104" spans="1:11" ht="15.75" x14ac:dyDescent="0.25">
      <c r="A104" s="11"/>
      <c r="B104" s="2"/>
      <c r="C104" s="2" t="s">
        <v>154</v>
      </c>
      <c r="D104" s="86"/>
      <c r="E104" s="2"/>
      <c r="F104" s="2"/>
      <c r="G104" s="116"/>
      <c r="H104" s="126"/>
      <c r="I104" s="126"/>
      <c r="J104" s="2"/>
      <c r="K104" s="2"/>
    </row>
    <row r="105" spans="1:11" ht="15.75" x14ac:dyDescent="0.25">
      <c r="A105" s="11"/>
      <c r="B105" s="2"/>
      <c r="C105" s="2" t="s">
        <v>155</v>
      </c>
      <c r="D105" s="86"/>
      <c r="E105" s="2"/>
      <c r="F105" s="2"/>
      <c r="G105" s="116"/>
      <c r="H105" s="126"/>
      <c r="I105" s="126"/>
      <c r="J105" s="2"/>
      <c r="K105" s="2"/>
    </row>
    <row r="106" spans="1:11" ht="15.75" x14ac:dyDescent="0.25">
      <c r="A106" s="11"/>
      <c r="B106" s="2"/>
      <c r="C106" s="2" t="s">
        <v>156</v>
      </c>
      <c r="D106" s="4"/>
      <c r="E106" s="2"/>
      <c r="F106" s="2"/>
      <c r="G106" s="116"/>
      <c r="H106" s="126"/>
      <c r="I106" s="126"/>
      <c r="J106" s="2"/>
      <c r="K106" s="2"/>
    </row>
    <row r="107" spans="1:11" ht="15.75" x14ac:dyDescent="0.25">
      <c r="A107" s="11"/>
      <c r="B107" s="2"/>
      <c r="C107" s="2"/>
      <c r="D107" s="2"/>
      <c r="E107" s="2"/>
      <c r="F107" s="2"/>
      <c r="G107" s="2"/>
      <c r="H107" s="126"/>
      <c r="I107" s="126"/>
      <c r="J107" s="2"/>
      <c r="K107" s="2"/>
    </row>
    <row r="108" spans="1:11" ht="15.75" x14ac:dyDescent="0.25">
      <c r="A108" s="11" t="s">
        <v>161</v>
      </c>
      <c r="B108" s="2"/>
      <c r="C108" s="2"/>
      <c r="D108" s="2"/>
      <c r="E108" s="2"/>
      <c r="F108" s="2"/>
      <c r="G108" s="2"/>
      <c r="H108" s="126"/>
      <c r="I108" s="126"/>
      <c r="J108" s="2"/>
      <c r="K108" s="2"/>
    </row>
    <row r="109" spans="1:11" ht="15.75" x14ac:dyDescent="0.25">
      <c r="A109" s="2" t="s">
        <v>103</v>
      </c>
      <c r="B109" s="2"/>
      <c r="C109" s="2"/>
      <c r="D109" s="13" t="s">
        <v>107</v>
      </c>
      <c r="E109" s="12"/>
      <c r="F109" s="12"/>
      <c r="G109" s="12"/>
      <c r="H109" s="126"/>
      <c r="I109" s="126"/>
      <c r="J109" s="12"/>
      <c r="K109" s="2"/>
    </row>
    <row r="110" spans="1:11" ht="15.75" x14ac:dyDescent="0.25">
      <c r="A110" s="11"/>
      <c r="B110" s="2"/>
      <c r="C110" s="2"/>
      <c r="D110" s="6" t="s">
        <v>9</v>
      </c>
      <c r="E110" s="88"/>
      <c r="F110" s="88"/>
      <c r="G110" s="16"/>
      <c r="H110" s="126"/>
      <c r="I110" s="126"/>
      <c r="J110" s="2"/>
      <c r="K110" s="2"/>
    </row>
    <row r="111" spans="1:11" ht="15.75" x14ac:dyDescent="0.25">
      <c r="A111" s="11"/>
      <c r="B111" s="2"/>
      <c r="C111" s="2"/>
      <c r="D111" s="89" t="s">
        <v>143</v>
      </c>
      <c r="E111" s="93" t="s">
        <v>141</v>
      </c>
      <c r="F111" s="93" t="s">
        <v>104</v>
      </c>
      <c r="G111" s="90" t="s">
        <v>145</v>
      </c>
      <c r="H111" s="126"/>
      <c r="I111" s="126"/>
      <c r="J111" s="2"/>
      <c r="K111" s="2"/>
    </row>
    <row r="112" spans="1:11" ht="15.75" x14ac:dyDescent="0.25">
      <c r="A112" s="11"/>
      <c r="B112" s="2"/>
      <c r="C112" s="2"/>
      <c r="D112" s="91" t="s">
        <v>144</v>
      </c>
      <c r="E112" s="21" t="s">
        <v>142</v>
      </c>
      <c r="F112" s="56"/>
      <c r="G112" s="92" t="s">
        <v>142</v>
      </c>
      <c r="H112" s="126"/>
      <c r="I112" s="126"/>
      <c r="J112" s="2"/>
      <c r="K112" s="2"/>
    </row>
    <row r="113" spans="1:11" ht="15.75" customHeight="1" x14ac:dyDescent="0.25">
      <c r="A113" s="2"/>
      <c r="B113" s="129" t="s">
        <v>111</v>
      </c>
      <c r="C113" s="124"/>
      <c r="D113" s="24"/>
      <c r="E113" s="24"/>
      <c r="F113" s="24"/>
      <c r="G113" s="24" t="s">
        <v>102</v>
      </c>
      <c r="H113" s="126"/>
      <c r="I113" s="126"/>
      <c r="J113" s="2"/>
      <c r="K113" s="2"/>
    </row>
    <row r="114" spans="1:11" ht="15.75" customHeight="1" x14ac:dyDescent="0.25">
      <c r="A114" s="2"/>
      <c r="B114" s="129" t="s">
        <v>112</v>
      </c>
      <c r="C114" s="124"/>
      <c r="D114" s="24"/>
      <c r="E114" s="24"/>
      <c r="F114" s="24"/>
      <c r="G114" s="24" t="s">
        <v>102</v>
      </c>
      <c r="H114" s="126"/>
      <c r="I114" s="126"/>
      <c r="J114" s="2"/>
      <c r="K114" s="2"/>
    </row>
    <row r="115" spans="1:11" ht="15.75" customHeight="1" x14ac:dyDescent="0.25">
      <c r="A115" s="11"/>
      <c r="B115" s="129" t="s">
        <v>113</v>
      </c>
      <c r="C115" s="124"/>
      <c r="D115" s="24"/>
      <c r="E115" s="24"/>
      <c r="F115" s="24" t="s">
        <v>102</v>
      </c>
      <c r="G115" s="24"/>
      <c r="H115" s="126"/>
      <c r="I115" s="126"/>
      <c r="J115" s="2"/>
      <c r="K115" s="2"/>
    </row>
    <row r="116" spans="1:11" ht="15.75" customHeight="1" x14ac:dyDescent="0.25">
      <c r="A116" s="11"/>
      <c r="B116" s="130" t="s">
        <v>174</v>
      </c>
      <c r="C116" s="125"/>
      <c r="D116" s="24"/>
      <c r="E116" s="24"/>
      <c r="F116" s="24" t="s">
        <v>102</v>
      </c>
      <c r="G116" s="24"/>
      <c r="H116" s="126"/>
      <c r="I116" s="126"/>
      <c r="J116" s="2"/>
      <c r="K116" s="2"/>
    </row>
    <row r="117" spans="1:11" ht="15.75" customHeight="1" x14ac:dyDescent="0.25">
      <c r="A117" s="11"/>
      <c r="B117" s="129" t="s">
        <v>114</v>
      </c>
      <c r="C117" s="124"/>
      <c r="D117" s="24"/>
      <c r="E117" s="24"/>
      <c r="F117" s="24"/>
      <c r="G117" s="24" t="s">
        <v>102</v>
      </c>
      <c r="H117" s="126"/>
      <c r="I117" s="126"/>
      <c r="J117" s="2"/>
      <c r="K117" s="2"/>
    </row>
    <row r="118" spans="1:11" ht="15.75" customHeight="1" x14ac:dyDescent="0.25">
      <c r="A118" s="11"/>
      <c r="B118" s="129" t="s">
        <v>115</v>
      </c>
      <c r="C118" s="124"/>
      <c r="D118" s="24" t="s">
        <v>102</v>
      </c>
      <c r="E118" s="24"/>
      <c r="F118" s="24"/>
      <c r="G118" s="24"/>
      <c r="H118" s="126"/>
      <c r="I118" s="126"/>
      <c r="J118" s="2"/>
      <c r="K118" s="2"/>
    </row>
    <row r="119" spans="1:11" ht="15.75" customHeight="1" x14ac:dyDescent="0.25">
      <c r="A119" s="11"/>
      <c r="B119" s="129" t="s">
        <v>116</v>
      </c>
      <c r="C119" s="124"/>
      <c r="D119" s="24"/>
      <c r="E119" s="24"/>
      <c r="F119" s="24" t="s">
        <v>102</v>
      </c>
      <c r="G119" s="24"/>
      <c r="H119" s="126"/>
      <c r="I119" s="126"/>
      <c r="J119" s="2"/>
      <c r="K119" s="2"/>
    </row>
    <row r="120" spans="1:11" ht="15.75" customHeight="1" x14ac:dyDescent="0.25">
      <c r="A120" s="11"/>
      <c r="B120" s="129" t="s">
        <v>117</v>
      </c>
      <c r="C120" s="124"/>
      <c r="D120" s="24"/>
      <c r="E120" s="24"/>
      <c r="F120" s="24" t="s">
        <v>102</v>
      </c>
      <c r="G120" s="24"/>
      <c r="H120" s="126"/>
      <c r="I120" s="126"/>
      <c r="J120" s="2"/>
      <c r="K120" s="2"/>
    </row>
    <row r="121" spans="1:11" ht="15.75" customHeight="1" x14ac:dyDescent="0.25">
      <c r="A121" s="11"/>
      <c r="B121" s="129" t="s">
        <v>118</v>
      </c>
      <c r="C121" s="124"/>
      <c r="D121" s="24"/>
      <c r="E121" s="24"/>
      <c r="F121" s="24"/>
      <c r="G121" s="24" t="s">
        <v>102</v>
      </c>
      <c r="H121" s="126"/>
      <c r="I121" s="126"/>
      <c r="J121" s="2"/>
      <c r="K121" s="2"/>
    </row>
    <row r="122" spans="1:11" ht="15.75" customHeight="1" x14ac:dyDescent="0.25">
      <c r="A122" s="11"/>
      <c r="B122" s="129" t="s">
        <v>119</v>
      </c>
      <c r="C122" s="124"/>
      <c r="D122" s="24"/>
      <c r="E122" s="24"/>
      <c r="F122" s="24" t="s">
        <v>102</v>
      </c>
      <c r="G122" s="24"/>
      <c r="H122" s="126"/>
      <c r="I122" s="126"/>
      <c r="J122" s="2"/>
      <c r="K122" s="2"/>
    </row>
    <row r="123" spans="1:11" ht="15.75" x14ac:dyDescent="0.25">
      <c r="A123" s="11"/>
      <c r="B123" s="129" t="s">
        <v>120</v>
      </c>
      <c r="C123" s="124"/>
      <c r="D123" s="24"/>
      <c r="E123" s="24" t="s">
        <v>102</v>
      </c>
      <c r="F123" s="24"/>
      <c r="G123" s="24"/>
      <c r="H123" s="126"/>
      <c r="I123" s="126"/>
      <c r="J123" s="2"/>
      <c r="K123" s="2"/>
    </row>
    <row r="124" spans="1:11" ht="15.75" customHeight="1" x14ac:dyDescent="0.25">
      <c r="A124" s="11"/>
      <c r="B124" s="129" t="s">
        <v>121</v>
      </c>
      <c r="C124" s="124"/>
      <c r="D124" s="24"/>
      <c r="E124" s="24" t="s">
        <v>102</v>
      </c>
      <c r="F124" s="24"/>
      <c r="G124" s="24"/>
      <c r="H124" s="126"/>
      <c r="I124" s="126"/>
      <c r="J124" s="2"/>
      <c r="K124" s="2"/>
    </row>
    <row r="125" spans="1:11" ht="15.75" x14ac:dyDescent="0.25">
      <c r="A125" s="11"/>
      <c r="B125" s="2"/>
      <c r="C125" s="2"/>
      <c r="D125" s="2"/>
      <c r="E125" s="2"/>
      <c r="F125" s="2"/>
      <c r="G125" s="2"/>
      <c r="H125" s="126"/>
      <c r="I125" s="126"/>
      <c r="J125" s="2"/>
      <c r="K125" s="2"/>
    </row>
    <row r="126" spans="1:11" ht="15.75" x14ac:dyDescent="0.25">
      <c r="A126" s="11" t="s">
        <v>162</v>
      </c>
      <c r="B126" s="2"/>
      <c r="C126" s="2"/>
      <c r="D126" s="2"/>
      <c r="E126" s="2"/>
      <c r="F126" s="2"/>
      <c r="G126" s="2"/>
      <c r="H126" s="126"/>
      <c r="I126" s="126"/>
      <c r="J126" s="2"/>
      <c r="K126" s="2"/>
    </row>
    <row r="127" spans="1:11" ht="15.75" x14ac:dyDescent="0.25">
      <c r="A127" s="11"/>
      <c r="B127" s="2"/>
      <c r="C127" s="2"/>
      <c r="D127" s="2"/>
      <c r="E127" s="2"/>
      <c r="F127" s="2"/>
      <c r="G127" s="2"/>
      <c r="H127" s="126"/>
      <c r="I127" s="126"/>
      <c r="J127" s="2"/>
      <c r="K127" s="2"/>
    </row>
    <row r="128" spans="1:11" ht="15.75" x14ac:dyDescent="0.25">
      <c r="A128" s="11"/>
      <c r="B128" s="2"/>
      <c r="C128" s="2"/>
      <c r="D128" s="5" t="s">
        <v>105</v>
      </c>
      <c r="E128" s="2"/>
      <c r="F128" s="2"/>
      <c r="G128" s="2"/>
      <c r="H128" s="126"/>
      <c r="I128" s="126"/>
      <c r="J128" s="2"/>
    </row>
    <row r="129" spans="1:11" ht="15.75" x14ac:dyDescent="0.25">
      <c r="A129" s="11"/>
      <c r="B129" s="2"/>
      <c r="C129" s="2" t="str">
        <f>+" Período: ("&amp;UPPER(MID(TEXT(EDATE($A$1,1),"mmm./yyy"),1,1))&amp;MID(TEXT(EDATE($A$1,1),"mmm./yyy"),2,LEN(A1)+3)&amp;" - "&amp;UPPER(MID(TEXT(EDATE($A$1,12),"mmm./yyy"),1,1))&amp;MID(TEXT(EDATE($A$1,12),"mmm./yyy"),2,LEN(A1)+3)&amp;")"</f>
        <v xml:space="preserve"> Período: (Oct./2026 - Sep./2027)</v>
      </c>
      <c r="D129" s="86" t="s">
        <v>265</v>
      </c>
      <c r="E129" s="11"/>
      <c r="F129" s="2"/>
      <c r="G129" s="2"/>
      <c r="H129" s="126"/>
      <c r="I129" s="126"/>
      <c r="J129" s="2"/>
    </row>
    <row r="130" spans="1:11" ht="15.75" x14ac:dyDescent="0.25">
      <c r="A130" s="11"/>
      <c r="B130" s="2"/>
      <c r="C130" s="2" t="str">
        <f>+" Período: ("&amp;UPPER(MID(TEXT(EDATE($A$1,13),"mmm./yyy"),1,1))&amp;MID(TEXT(EDATE($A$1,13),"mmm./yyy"),2,LEN(A1)+3)&amp;" - "&amp;UPPER(MID(TEXT(EDATE($A$1,24),"mmm./yyy"),1,1))&amp;MID(TEXT(EDATE($A$1,24),"mmm./yyy"),2,LEN(A1)+3)&amp;")"</f>
        <v xml:space="preserve"> Período: (Oct./2027 - Sep./2028)</v>
      </c>
      <c r="D130" s="4" t="s">
        <v>258</v>
      </c>
      <c r="E130" s="11"/>
      <c r="F130" s="2"/>
      <c r="G130" s="2"/>
      <c r="H130" s="126"/>
      <c r="I130" s="126"/>
      <c r="J130" s="2"/>
    </row>
    <row r="131" spans="1:11" ht="15.75" x14ac:dyDescent="0.25">
      <c r="A131" s="11"/>
      <c r="B131" s="2"/>
      <c r="C131" s="2"/>
      <c r="D131" s="2"/>
      <c r="E131" s="2"/>
      <c r="F131" s="2"/>
      <c r="G131" s="2"/>
      <c r="H131" s="126"/>
      <c r="I131" s="126"/>
      <c r="J131" s="2"/>
      <c r="K131" s="2"/>
    </row>
    <row r="132" spans="1:11" ht="15.75" x14ac:dyDescent="0.25">
      <c r="A132" s="11" t="s">
        <v>163</v>
      </c>
      <c r="B132" s="2"/>
      <c r="C132" s="2"/>
      <c r="D132" s="2"/>
      <c r="E132" s="2"/>
      <c r="F132" s="2"/>
      <c r="G132" s="2"/>
      <c r="H132" s="126"/>
      <c r="I132" s="126"/>
      <c r="J132" s="2"/>
      <c r="K132" s="2"/>
    </row>
    <row r="133" spans="1:11" ht="15.75" x14ac:dyDescent="0.25">
      <c r="A133" s="11"/>
      <c r="B133" s="2"/>
      <c r="C133" s="2"/>
      <c r="D133" s="2"/>
      <c r="E133" s="2"/>
      <c r="F133" s="2"/>
      <c r="G133" s="2"/>
      <c r="H133"/>
      <c r="I133" s="126"/>
      <c r="J133" s="2"/>
      <c r="K133" s="2"/>
    </row>
    <row r="134" spans="1:11" ht="15.75" x14ac:dyDescent="0.25">
      <c r="A134" s="11"/>
      <c r="B134" s="2"/>
      <c r="C134" s="2"/>
      <c r="D134" s="5" t="s">
        <v>105</v>
      </c>
      <c r="E134" s="2"/>
      <c r="F134" s="2"/>
      <c r="G134" s="2"/>
      <c r="H134" s="126"/>
      <c r="I134" s="126"/>
      <c r="J134" s="2"/>
      <c r="K134" s="2"/>
    </row>
    <row r="135" spans="1:11" ht="15.75" x14ac:dyDescent="0.25">
      <c r="A135" s="11"/>
      <c r="B135" s="2"/>
      <c r="C135" s="2" t="str">
        <f>+" Período: ("&amp;UPPER(MID(TEXT(EDATE($A$1,1),"mmm./yyy"),1,1))&amp;MID(TEXT(EDATE($A$1,1),"mmm./yyy"),2,LEN($A$1)+3)&amp;" - "&amp;UPPER(MID(TEXT(EDATE($A$1,12),"mmm./yyy"),1,1))&amp;MID(TEXT(EDATE($A$1,12),"mmm./yyy"),2,LEN($A$1)+3)&amp;")"</f>
        <v xml:space="preserve"> Período: (Oct./2026 - Sep./2027)</v>
      </c>
      <c r="D135" s="86" t="s">
        <v>267</v>
      </c>
      <c r="E135" s="11"/>
      <c r="F135" s="2"/>
      <c r="G135" s="2"/>
      <c r="H135" s="126"/>
      <c r="I135" s="126"/>
      <c r="J135" s="2"/>
      <c r="K135" s="2"/>
    </row>
    <row r="136" spans="1:11" ht="15.75" x14ac:dyDescent="0.25">
      <c r="A136" s="11"/>
      <c r="B136" s="2"/>
      <c r="C136" s="2" t="str">
        <f>+" Período: ("&amp;UPPER(MID(TEXT(EDATE($A$1,13),"mmm./yyy"),1,1))&amp;MID(TEXT(EDATE($A$1,13),"mmm./yyy"),2,LEN($A$1)+3)&amp;" - "&amp;UPPER(MID(TEXT(EDATE($A$1,24),"mmm./yyy"),1,1))&amp;MID(TEXT(EDATE($A$1,24),"mmm./yyy"),2,LEN($A$1)+3)&amp;")"</f>
        <v xml:space="preserve"> Período: (Oct./2027 - Sep./2028)</v>
      </c>
      <c r="D136" s="4" t="s">
        <v>258</v>
      </c>
      <c r="E136" s="11"/>
      <c r="F136" s="2"/>
      <c r="G136" s="2"/>
      <c r="H136" s="126"/>
      <c r="I136" s="126"/>
      <c r="J136" s="2"/>
      <c r="K136" s="2"/>
    </row>
    <row r="137" spans="1:11" ht="15.75" x14ac:dyDescent="0.25">
      <c r="A137" s="2"/>
      <c r="B137" s="2"/>
      <c r="C137" s="2"/>
      <c r="D137" s="2"/>
      <c r="E137" s="2"/>
      <c r="F137" s="2"/>
      <c r="G137" s="2"/>
      <c r="H137" s="126"/>
      <c r="I137" s="126"/>
      <c r="J137" s="2"/>
      <c r="K137" s="2"/>
    </row>
    <row r="138" spans="1:11" ht="15.75" x14ac:dyDescent="0.25">
      <c r="A138" s="47" t="s">
        <v>108</v>
      </c>
      <c r="B138" s="48"/>
      <c r="C138" s="49"/>
      <c r="D138" s="2"/>
      <c r="E138" s="2"/>
      <c r="F138" s="2"/>
      <c r="G138" s="2"/>
      <c r="H138" s="126"/>
      <c r="I138" s="126"/>
      <c r="J138" s="2"/>
      <c r="K138" s="2"/>
    </row>
    <row r="139" spans="1:11" ht="15.75" x14ac:dyDescent="0.25">
      <c r="A139" s="11"/>
      <c r="B139" s="2"/>
      <c r="C139" s="2"/>
      <c r="D139" s="2"/>
      <c r="E139" s="2"/>
      <c r="F139" s="2"/>
      <c r="G139" s="2"/>
      <c r="H139" s="126"/>
      <c r="I139" s="126"/>
      <c r="J139" s="2"/>
      <c r="K139" s="2"/>
    </row>
    <row r="140" spans="1:11" ht="15.75" x14ac:dyDescent="0.25">
      <c r="A140" s="11" t="s">
        <v>106</v>
      </c>
      <c r="B140" s="2"/>
      <c r="C140" s="2"/>
      <c r="D140" s="2"/>
      <c r="E140" s="2"/>
      <c r="F140" s="2"/>
      <c r="G140" s="2"/>
      <c r="H140" s="126"/>
      <c r="I140" s="126"/>
      <c r="J140" s="2"/>
      <c r="K140" s="2"/>
    </row>
    <row r="141" spans="1:11" ht="15.75" x14ac:dyDescent="0.25">
      <c r="A141" s="2" t="s">
        <v>29</v>
      </c>
      <c r="B141" s="2"/>
      <c r="C141" s="2"/>
      <c r="D141" s="2"/>
      <c r="E141" s="2"/>
      <c r="F141" s="2"/>
      <c r="G141" s="2"/>
      <c r="H141" s="126"/>
      <c r="I141" s="126"/>
      <c r="J141" s="2"/>
      <c r="K141" s="2"/>
    </row>
    <row r="142" spans="1:11" ht="15.75" x14ac:dyDescent="0.25">
      <c r="A142" s="2"/>
      <c r="B142" s="2"/>
      <c r="C142" s="2"/>
      <c r="D142" s="128" t="s">
        <v>30</v>
      </c>
      <c r="E142" s="127"/>
      <c r="H142" s="126"/>
      <c r="I142" s="126"/>
      <c r="J142" s="2"/>
      <c r="K142" s="2"/>
    </row>
    <row r="143" spans="1:11" ht="15.75" x14ac:dyDescent="0.25">
      <c r="A143" s="2"/>
      <c r="B143" s="2"/>
      <c r="C143" s="2"/>
      <c r="D143" s="19" t="s">
        <v>31</v>
      </c>
      <c r="E143" s="19" t="s">
        <v>4</v>
      </c>
      <c r="H143" s="126"/>
      <c r="I143" s="126"/>
      <c r="J143" s="2"/>
      <c r="K143" s="2"/>
    </row>
    <row r="144" spans="1:11" ht="15.75" x14ac:dyDescent="0.25">
      <c r="A144" s="2" t="s">
        <v>124</v>
      </c>
      <c r="B144" s="2"/>
      <c r="C144" s="2"/>
      <c r="D144" s="4" t="s">
        <v>102</v>
      </c>
      <c r="E144" s="4"/>
      <c r="H144" s="126"/>
      <c r="I144" s="126"/>
      <c r="J144" s="2"/>
      <c r="K144" s="2"/>
    </row>
    <row r="145" spans="1:11" ht="15.75" x14ac:dyDescent="0.25">
      <c r="A145" s="2" t="s">
        <v>125</v>
      </c>
      <c r="B145" s="2"/>
      <c r="C145" s="2"/>
      <c r="D145" s="4"/>
      <c r="E145" s="4" t="s">
        <v>102</v>
      </c>
      <c r="H145" s="126"/>
      <c r="I145" s="126"/>
      <c r="J145" s="2"/>
      <c r="K145" s="2"/>
    </row>
    <row r="146" spans="1:11" ht="15.75" x14ac:dyDescent="0.25">
      <c r="A146" s="2" t="s">
        <v>126</v>
      </c>
      <c r="B146" s="2"/>
      <c r="C146" s="2"/>
      <c r="D146" s="4"/>
      <c r="E146" s="4" t="s">
        <v>102</v>
      </c>
      <c r="H146" s="126"/>
      <c r="I146" s="126"/>
      <c r="J146" s="2"/>
      <c r="K146" s="2"/>
    </row>
    <row r="147" spans="1:11" ht="15.75" x14ac:dyDescent="0.25">
      <c r="A147" s="2"/>
      <c r="B147" s="2"/>
      <c r="C147" s="2"/>
      <c r="D147" s="2"/>
      <c r="E147" s="2"/>
      <c r="F147" s="2"/>
      <c r="G147" s="2"/>
      <c r="H147" s="126"/>
      <c r="I147" s="126"/>
      <c r="J147" s="2"/>
      <c r="K147" s="2"/>
    </row>
    <row r="148" spans="1:11" ht="15.75" x14ac:dyDescent="0.25">
      <c r="A148" s="2" t="s">
        <v>146</v>
      </c>
      <c r="B148" s="2"/>
      <c r="C148" s="2"/>
      <c r="D148" s="102" t="s">
        <v>147</v>
      </c>
      <c r="E148" s="4"/>
      <c r="F148" s="102" t="s">
        <v>32</v>
      </c>
      <c r="G148" s="4"/>
      <c r="H148" s="126"/>
      <c r="I148" s="126"/>
      <c r="J148" s="2"/>
      <c r="K148" s="2"/>
    </row>
    <row r="149" spans="1:11" ht="15.75" x14ac:dyDescent="0.25">
      <c r="A149" s="2"/>
      <c r="B149" s="2"/>
      <c r="C149" s="2"/>
      <c r="D149" s="102" t="s">
        <v>33</v>
      </c>
      <c r="E149" s="4" t="s">
        <v>102</v>
      </c>
      <c r="F149" s="102" t="s">
        <v>34</v>
      </c>
      <c r="G149" s="4"/>
      <c r="H149" s="126"/>
      <c r="I149" s="126"/>
      <c r="J149" s="2"/>
      <c r="K149" s="2"/>
    </row>
    <row r="150" spans="1:11" ht="15.75" x14ac:dyDescent="0.25">
      <c r="A150" s="2"/>
      <c r="B150" s="2"/>
      <c r="C150" s="2"/>
      <c r="D150" s="2"/>
      <c r="E150" s="2"/>
      <c r="F150" s="2"/>
      <c r="G150" s="2"/>
      <c r="H150" s="126"/>
      <c r="I150" s="126"/>
      <c r="J150" s="2"/>
      <c r="K150" s="2"/>
    </row>
    <row r="151" spans="1:11" ht="15.75" x14ac:dyDescent="0.25">
      <c r="A151" s="13" t="s">
        <v>35</v>
      </c>
      <c r="B151" s="12"/>
      <c r="C151" s="12"/>
      <c r="D151" s="12"/>
      <c r="E151" s="12"/>
      <c r="F151" s="12"/>
      <c r="G151" s="12"/>
      <c r="H151" s="126"/>
      <c r="I151" s="126"/>
      <c r="J151" s="2"/>
      <c r="K151" s="2"/>
    </row>
    <row r="152" spans="1:11" ht="15.75" x14ac:dyDescent="0.25">
      <c r="A152" s="2"/>
      <c r="B152" s="2"/>
      <c r="C152" s="2"/>
      <c r="D152" s="2"/>
      <c r="E152" s="2"/>
      <c r="F152" s="2"/>
      <c r="G152" s="2"/>
      <c r="H152" s="126"/>
      <c r="I152" s="126"/>
      <c r="J152" s="2"/>
      <c r="K152" s="2"/>
    </row>
    <row r="153" spans="1:11" ht="15.75" x14ac:dyDescent="0.25">
      <c r="A153" s="2" t="s">
        <v>36</v>
      </c>
      <c r="B153" s="80" t="s">
        <v>244</v>
      </c>
      <c r="C153" s="2"/>
      <c r="D153" s="2" t="s">
        <v>37</v>
      </c>
      <c r="E153" s="80" t="s">
        <v>245</v>
      </c>
      <c r="F153" s="2"/>
      <c r="H153" s="126"/>
      <c r="I153" s="126"/>
      <c r="J153" s="2"/>
      <c r="K153" s="2"/>
    </row>
    <row r="154" spans="1:11" ht="15.75" x14ac:dyDescent="0.25">
      <c r="A154" s="2" t="s">
        <v>38</v>
      </c>
      <c r="B154" s="80" t="s">
        <v>244</v>
      </c>
      <c r="C154" s="2"/>
      <c r="D154" s="2" t="s">
        <v>39</v>
      </c>
      <c r="E154" s="81" t="s">
        <v>246</v>
      </c>
      <c r="F154" s="2"/>
      <c r="H154" s="126"/>
      <c r="I154" s="126"/>
      <c r="J154" s="2"/>
      <c r="K154" s="2"/>
    </row>
    <row r="155" spans="1:11" ht="15.75" x14ac:dyDescent="0.25">
      <c r="A155" s="2" t="s">
        <v>40</v>
      </c>
      <c r="B155" s="80" t="s">
        <v>247</v>
      </c>
      <c r="C155" s="2"/>
      <c r="D155" s="2" t="s">
        <v>41</v>
      </c>
      <c r="E155" s="80" t="s">
        <v>248</v>
      </c>
      <c r="F155" s="2"/>
      <c r="H155" s="126"/>
      <c r="I155" s="126"/>
      <c r="J155" s="2"/>
      <c r="K155" s="2"/>
    </row>
    <row r="156" spans="1:11" ht="15.75" x14ac:dyDescent="0.25">
      <c r="A156" s="2" t="s">
        <v>90</v>
      </c>
      <c r="B156" s="80" t="s">
        <v>249</v>
      </c>
      <c r="C156" s="2"/>
      <c r="D156" s="2" t="s">
        <v>44</v>
      </c>
      <c r="E156" s="80"/>
      <c r="F156" s="2"/>
      <c r="H156" s="126"/>
      <c r="I156" s="126"/>
      <c r="J156" s="2"/>
      <c r="K156" s="2"/>
    </row>
    <row r="157" spans="1:11" ht="15.75" x14ac:dyDescent="0.25">
      <c r="A157" s="2" t="s">
        <v>42</v>
      </c>
      <c r="B157" s="80" t="s">
        <v>250</v>
      </c>
      <c r="C157" s="2"/>
      <c r="D157" s="2" t="s">
        <v>266</v>
      </c>
      <c r="E157" s="83"/>
      <c r="F157" s="82"/>
      <c r="H157" s="126"/>
      <c r="I157" s="126"/>
      <c r="J157" s="2"/>
      <c r="K157" s="2"/>
    </row>
    <row r="158" spans="1:11" ht="18.75" x14ac:dyDescent="0.3">
      <c r="A158" s="84" t="s">
        <v>148</v>
      </c>
      <c r="B158" s="3"/>
      <c r="C158" s="3"/>
      <c r="D158" s="3"/>
      <c r="E158" s="3"/>
      <c r="F158" s="3"/>
      <c r="G158" s="3"/>
      <c r="H158" s="126"/>
      <c r="I158" s="126"/>
      <c r="J158" s="2"/>
      <c r="K158" s="2"/>
    </row>
    <row r="159" spans="1:11" s="111" customFormat="1" ht="18.75" x14ac:dyDescent="0.25">
      <c r="A159" s="117" t="s">
        <v>175</v>
      </c>
      <c r="B159" s="2"/>
      <c r="C159" s="2"/>
      <c r="D159" s="2"/>
      <c r="E159" s="2"/>
      <c r="F159" s="2"/>
      <c r="G159" s="2"/>
      <c r="H159" s="126"/>
      <c r="I159" s="126"/>
      <c r="J159" s="2"/>
      <c r="K159" s="2"/>
    </row>
    <row r="160" spans="1:11" ht="15.75" x14ac:dyDescent="0.25">
      <c r="A160" s="2" t="s">
        <v>157</v>
      </c>
      <c r="B160" s="2"/>
      <c r="C160" s="2"/>
      <c r="D160" s="2"/>
      <c r="E160" s="2"/>
      <c r="F160" s="2"/>
      <c r="G160" s="2"/>
      <c r="H160" s="126"/>
      <c r="I160" s="126"/>
      <c r="J160" s="2"/>
      <c r="K160" s="2"/>
    </row>
    <row r="161" spans="1:11" ht="15.75" x14ac:dyDescent="0.25">
      <c r="A161" s="2"/>
      <c r="B161" s="2"/>
      <c r="C161" s="2"/>
      <c r="D161" s="2"/>
      <c r="E161" s="2"/>
      <c r="F161" s="2"/>
      <c r="G161" s="2"/>
      <c r="H161" s="126"/>
      <c r="I161" s="126"/>
      <c r="J161" s="2"/>
      <c r="K161" s="2"/>
    </row>
    <row r="162" spans="1:11" ht="15.75" x14ac:dyDescent="0.25">
      <c r="A162" s="2"/>
      <c r="B162" s="2"/>
      <c r="C162" s="2"/>
      <c r="D162" s="2"/>
      <c r="E162" s="2"/>
      <c r="F162" s="2"/>
      <c r="G162" s="2"/>
      <c r="H162" s="126"/>
      <c r="I162" s="126"/>
      <c r="J162" s="2"/>
      <c r="K162" s="2"/>
    </row>
    <row r="163" spans="1:11" ht="15.75" x14ac:dyDescent="0.25">
      <c r="A163" s="2"/>
      <c r="B163" s="2"/>
      <c r="C163" s="2"/>
      <c r="D163" s="2"/>
      <c r="E163" s="2"/>
      <c r="F163" s="2"/>
      <c r="G163" s="2"/>
      <c r="H163" s="126"/>
      <c r="I163" s="126"/>
      <c r="J163" s="2"/>
      <c r="K163" s="2"/>
    </row>
    <row r="164" spans="1:11" ht="15.75" x14ac:dyDescent="0.25">
      <c r="A164" s="2"/>
      <c r="B164" s="2"/>
      <c r="C164" s="2"/>
      <c r="D164" s="2"/>
      <c r="E164" s="2"/>
      <c r="F164" s="2"/>
      <c r="G164" s="2"/>
      <c r="H164" s="126"/>
      <c r="I164" s="126"/>
      <c r="J164" s="2"/>
      <c r="K164" s="2"/>
    </row>
    <row r="165" spans="1:11" ht="15.75" x14ac:dyDescent="0.25">
      <c r="A165" s="2"/>
      <c r="B165" s="2"/>
      <c r="C165" s="2"/>
      <c r="D165" s="2"/>
      <c r="E165" s="2"/>
      <c r="F165" s="2"/>
      <c r="G165" s="2"/>
      <c r="H165" s="126"/>
      <c r="I165" s="126"/>
      <c r="J165" s="2"/>
      <c r="K165" s="2"/>
    </row>
    <row r="166" spans="1:11" x14ac:dyDescent="0.2">
      <c r="H166" s="126"/>
      <c r="I166" s="126"/>
    </row>
    <row r="167" spans="1:11" x14ac:dyDescent="0.2">
      <c r="H167" s="126"/>
      <c r="I167" s="126"/>
    </row>
    <row r="168" spans="1:11" x14ac:dyDescent="0.2">
      <c r="H168" s="126"/>
      <c r="I168" s="126"/>
    </row>
    <row r="169" spans="1:11" x14ac:dyDescent="0.2">
      <c r="H169" s="126"/>
      <c r="I169" s="126"/>
    </row>
    <row r="170" spans="1:11" x14ac:dyDescent="0.2">
      <c r="F170" s="1" t="s">
        <v>93</v>
      </c>
      <c r="H170" s="126"/>
      <c r="I170" s="126"/>
    </row>
    <row r="171" spans="1:11" x14ac:dyDescent="0.2">
      <c r="B171" s="1" t="s">
        <v>91</v>
      </c>
      <c r="H171" s="126"/>
      <c r="I171" s="126"/>
    </row>
    <row r="172" spans="1:11" x14ac:dyDescent="0.2">
      <c r="H172" s="126"/>
      <c r="I172" s="126"/>
    </row>
    <row r="173" spans="1:11" x14ac:dyDescent="0.2">
      <c r="H173" s="126"/>
      <c r="I173" s="126"/>
    </row>
    <row r="174" spans="1:11" x14ac:dyDescent="0.2">
      <c r="H174" s="126"/>
      <c r="I174" s="126"/>
    </row>
    <row r="175" spans="1:11" x14ac:dyDescent="0.2">
      <c r="H175" s="126"/>
      <c r="I175" s="126"/>
    </row>
    <row r="176" spans="1:11" x14ac:dyDescent="0.2">
      <c r="H176" s="126"/>
      <c r="I176" s="126"/>
    </row>
  </sheetData>
  <sheetProtection selectLockedCells="1"/>
  <phoneticPr fontId="24" type="noConversion"/>
  <conditionalFormatting sqref="D19">
    <cfRule type="cellIs" dxfId="38" priority="46" stopIfTrue="1" operator="equal">
      <formula>99999</formula>
    </cfRule>
  </conditionalFormatting>
  <conditionalFormatting sqref="D25:D30">
    <cfRule type="expression" dxfId="37" priority="85" stopIfTrue="1">
      <formula>ISTEXT(D25)</formula>
    </cfRule>
  </conditionalFormatting>
  <conditionalFormatting sqref="D35:D37">
    <cfRule type="expression" dxfId="36" priority="83" stopIfTrue="1">
      <formula>ISTEXT(D35)</formula>
    </cfRule>
  </conditionalFormatting>
  <conditionalFormatting sqref="D65:D68">
    <cfRule type="expression" dxfId="35" priority="70" stopIfTrue="1">
      <formula>ISTEXT(D65)</formula>
    </cfRule>
  </conditionalFormatting>
  <conditionalFormatting sqref="D74:D77">
    <cfRule type="expression" dxfId="34" priority="61" stopIfTrue="1">
      <formula>ISTEXT(D74)</formula>
    </cfRule>
  </conditionalFormatting>
  <conditionalFormatting sqref="D87:D88">
    <cfRule type="expression" dxfId="33" priority="56" stopIfTrue="1">
      <formula>ISTEXT(D87)</formula>
    </cfRule>
  </conditionalFormatting>
  <conditionalFormatting sqref="D101">
    <cfRule type="duplicateValues" dxfId="32" priority="1" stopIfTrue="1"/>
  </conditionalFormatting>
  <conditionalFormatting sqref="D102">
    <cfRule type="duplicateValues" dxfId="31" priority="7" stopIfTrue="1"/>
  </conditionalFormatting>
  <conditionalFormatting sqref="D103">
    <cfRule type="duplicateValues" dxfId="30" priority="5" stopIfTrue="1"/>
  </conditionalFormatting>
  <conditionalFormatting sqref="D104">
    <cfRule type="duplicateValues" dxfId="29" priority="4" stopIfTrue="1"/>
  </conditionalFormatting>
  <conditionalFormatting sqref="D105">
    <cfRule type="duplicateValues" dxfId="28" priority="3" stopIfTrue="1"/>
  </conditionalFormatting>
  <conditionalFormatting sqref="D106">
    <cfRule type="duplicateValues" dxfId="27" priority="2" stopIfTrue="1"/>
  </conditionalFormatting>
  <conditionalFormatting sqref="D129">
    <cfRule type="duplicateValues" dxfId="26" priority="32" stopIfTrue="1"/>
  </conditionalFormatting>
  <conditionalFormatting sqref="D130">
    <cfRule type="duplicateValues" dxfId="25" priority="31" stopIfTrue="1"/>
  </conditionalFormatting>
  <conditionalFormatting sqref="D135">
    <cfRule type="duplicateValues" dxfId="24" priority="14" stopIfTrue="1"/>
  </conditionalFormatting>
  <conditionalFormatting sqref="D136">
    <cfRule type="duplicateValues" dxfId="23" priority="13" stopIfTrue="1"/>
  </conditionalFormatting>
  <conditionalFormatting sqref="D144:E144">
    <cfRule type="duplicateValues" dxfId="22" priority="53" stopIfTrue="1"/>
  </conditionalFormatting>
  <conditionalFormatting sqref="D145:E145">
    <cfRule type="duplicateValues" dxfId="21" priority="52" stopIfTrue="1"/>
  </conditionalFormatting>
  <conditionalFormatting sqref="D146:E146">
    <cfRule type="duplicateValues" dxfId="20" priority="51" stopIfTrue="1"/>
  </conditionalFormatting>
  <conditionalFormatting sqref="D46:G46">
    <cfRule type="duplicateValues" dxfId="19" priority="81" stopIfTrue="1"/>
  </conditionalFormatting>
  <conditionalFormatting sqref="D54:G54">
    <cfRule type="duplicateValues" dxfId="18" priority="79" stopIfTrue="1"/>
  </conditionalFormatting>
  <conditionalFormatting sqref="D94:G94">
    <cfRule type="duplicateValues" dxfId="17" priority="55" stopIfTrue="1"/>
  </conditionalFormatting>
  <conditionalFormatting sqref="D95:G95">
    <cfRule type="duplicateValues" dxfId="16" priority="54" stopIfTrue="1"/>
  </conditionalFormatting>
  <conditionalFormatting sqref="D113:G113">
    <cfRule type="duplicateValues" dxfId="15" priority="35" stopIfTrue="1"/>
  </conditionalFormatting>
  <conditionalFormatting sqref="D114:G114">
    <cfRule type="duplicateValues" dxfId="14" priority="28" stopIfTrue="1"/>
  </conditionalFormatting>
  <conditionalFormatting sqref="D115:G115">
    <cfRule type="duplicateValues" dxfId="13" priority="27" stopIfTrue="1"/>
  </conditionalFormatting>
  <conditionalFormatting sqref="D116:G116">
    <cfRule type="duplicateValues" dxfId="12" priority="26" stopIfTrue="1"/>
  </conditionalFormatting>
  <conditionalFormatting sqref="D117:G117">
    <cfRule type="duplicateValues" dxfId="11" priority="25" stopIfTrue="1"/>
  </conditionalFormatting>
  <conditionalFormatting sqref="D118:G118">
    <cfRule type="duplicateValues" dxfId="10" priority="24" stopIfTrue="1"/>
  </conditionalFormatting>
  <conditionalFormatting sqref="D119:G119">
    <cfRule type="duplicateValues" dxfId="9" priority="23" stopIfTrue="1"/>
  </conditionalFormatting>
  <conditionalFormatting sqref="D120:G120">
    <cfRule type="duplicateValues" dxfId="8" priority="22" stopIfTrue="1"/>
  </conditionalFormatting>
  <conditionalFormatting sqref="D121:G121">
    <cfRule type="duplicateValues" dxfId="7" priority="21" stopIfTrue="1"/>
  </conditionalFormatting>
  <conditionalFormatting sqref="D122:G122">
    <cfRule type="duplicateValues" dxfId="6" priority="20" stopIfTrue="1"/>
  </conditionalFormatting>
  <conditionalFormatting sqref="D123:G123">
    <cfRule type="duplicateValues" dxfId="5" priority="19" stopIfTrue="1"/>
  </conditionalFormatting>
  <conditionalFormatting sqref="D124:G124">
    <cfRule type="duplicateValues" dxfId="4" priority="17" stopIfTrue="1"/>
  </conditionalFormatting>
  <conditionalFormatting sqref="E35 G100:G106 H107">
    <cfRule type="expression" dxfId="3" priority="84" stopIfTrue="1">
      <formula>AND(NOT(ISBLANK($D$35)),NOT(ISBLANK($E$35)))</formula>
    </cfRule>
  </conditionalFormatting>
  <conditionalFormatting sqref="E148:E149">
    <cfRule type="duplicateValues" dxfId="2" priority="50" stopIfTrue="1"/>
  </conditionalFormatting>
  <conditionalFormatting sqref="G58">
    <cfRule type="cellIs" dxfId="1" priority="15" stopIfTrue="1" operator="equal">
      <formula>99999</formula>
    </cfRule>
  </conditionalFormatting>
  <conditionalFormatting sqref="G148:G149">
    <cfRule type="duplicateValues" dxfId="0" priority="49" stopIfTrue="1"/>
  </conditionalFormatting>
  <dataValidations count="3">
    <dataValidation type="list" allowBlank="1" showInputMessage="1" showErrorMessage="1" errorTitle="Error" error="Seleccione X de la lista desplegable, no se permiten otros valores" promptTitle="Marcar" prompt="Si considera esta respuesta adecuada seleccione X" sqref="E35 G148:G149 E148:E149 D144:E146 D94:G95 D46:G46 D54:G54 D113:G124" xr:uid="{00000000-0002-0000-0300-000000000000}">
      <formula1>$A$20</formula1>
    </dataValidation>
    <dataValidation type="list" allowBlank="1" showInputMessage="1" showErrorMessage="1" errorTitle="Error" error="Seleccione X de la lista desplegable, no se permiten otros valores" promptTitle="Marcar X" prompt="Si considera esta respuesta adecuada seleccione X" sqref="D101:D106" xr:uid="{00000000-0002-0000-0300-000001000000}">
      <formula1>$A$20</formula1>
    </dataValidation>
    <dataValidation type="list" allowBlank="1" showInputMessage="1" showErrorMessage="1" sqref="E36" xr:uid="{71B2C4FD-6679-4FBA-9E29-6032F375CC4F}">
      <formula1>$A$20</formula1>
    </dataValidation>
  </dataValidations>
  <hyperlinks>
    <hyperlink ref="B13" r:id="rId1" xr:uid="{A89C4E66-C1ED-401D-97B1-B1EA9B1F8E46}"/>
  </hyperlinks>
  <printOptions horizontalCentered="1"/>
  <pageMargins left="0.59055118110236227" right="0.78740157480314965" top="0.59055118110236227" bottom="0.59055118110236227" header="0" footer="0"/>
  <pageSetup scale="58" fitToHeight="2" orientation="portrait" r:id="rId2"/>
  <headerFooter alignWithMargins="0">
    <oddFooter>&amp;C_x000D_&amp;1#&amp;"Aptos"&amp;10&amp;K000000 Classification: Bekaert Restricted Information</oddFooter>
  </headerFooter>
  <drawing r:id="rId3"/>
  <legacyDrawing r:id="rId4"/>
  <oleObjects>
    <mc:AlternateContent xmlns:mc="http://schemas.openxmlformats.org/markup-compatibility/2006">
      <mc:Choice Requires="x14">
        <oleObject progId="Word.Document.8" shapeId="5102593" r:id="rId5">
          <objectPr defaultSize="0" autoPict="0" r:id="rId6">
            <anchor moveWithCells="1">
              <from>
                <xdr:col>0</xdr:col>
                <xdr:colOff>104775</xdr:colOff>
                <xdr:row>1</xdr:row>
                <xdr:rowOff>9525</xdr:rowOff>
              </from>
              <to>
                <xdr:col>3</xdr:col>
                <xdr:colOff>123825</xdr:colOff>
                <xdr:row>6</xdr:row>
                <xdr:rowOff>9525</xdr:rowOff>
              </to>
            </anchor>
          </objectPr>
        </oleObject>
      </mc:Choice>
      <mc:Fallback>
        <oleObject progId="Word.Document.8" shapeId="5102593" r:id="rId5"/>
      </mc:Fallback>
    </mc:AlternateContent>
  </oleObjec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1">
    <pageSetUpPr fitToPage="1"/>
  </sheetPr>
  <dimension ref="A1:M332"/>
  <sheetViews>
    <sheetView topLeftCell="A82" zoomScaleNormal="100" workbookViewId="0">
      <selection activeCell="B117" sqref="B117"/>
    </sheetView>
  </sheetViews>
  <sheetFormatPr baseColWidth="10" defaultColWidth="11.42578125" defaultRowHeight="15.75" customHeight="1" x14ac:dyDescent="0.2"/>
  <cols>
    <col min="1" max="1" width="13.5703125" style="30" customWidth="1"/>
    <col min="2" max="2" width="9.140625" style="30" customWidth="1"/>
    <col min="3" max="3" width="10.5703125" style="30" customWidth="1"/>
    <col min="4" max="4" width="10.140625" style="30" customWidth="1"/>
    <col min="5" max="6" width="9.140625" style="30" customWidth="1"/>
    <col min="7" max="7" width="6.5703125" style="30" customWidth="1"/>
    <col min="8" max="16384" width="11.42578125" style="30"/>
  </cols>
  <sheetData>
    <row r="1" spans="1:12" s="25" customFormat="1" ht="15.75" customHeight="1" x14ac:dyDescent="0.2"/>
    <row r="2" spans="1:12" s="25" customFormat="1" ht="15.75" customHeight="1" x14ac:dyDescent="0.2"/>
    <row r="3" spans="1:12" s="25" customFormat="1" ht="15.75" customHeight="1" x14ac:dyDescent="0.2"/>
    <row r="4" spans="1:12" s="25" customFormat="1" ht="15.75" customHeight="1" x14ac:dyDescent="0.2">
      <c r="B4" s="44"/>
      <c r="C4" s="44"/>
      <c r="D4" s="44"/>
      <c r="E4" s="146" t="s">
        <v>45</v>
      </c>
      <c r="F4" s="146"/>
      <c r="G4" s="146"/>
      <c r="H4" s="146"/>
      <c r="I4" s="146"/>
      <c r="J4" s="44"/>
      <c r="K4" s="44"/>
      <c r="L4" s="44"/>
    </row>
    <row r="5" spans="1:12" s="25" customFormat="1" ht="15.75" customHeight="1" x14ac:dyDescent="0.2">
      <c r="A5" s="147" t="s">
        <v>46</v>
      </c>
      <c r="B5" s="147"/>
      <c r="C5" s="147"/>
      <c r="D5" s="147"/>
      <c r="E5" s="147"/>
      <c r="F5" s="26"/>
      <c r="G5" s="26"/>
      <c r="H5" s="26" t="s">
        <v>47</v>
      </c>
      <c r="I5" s="26"/>
      <c r="J5" s="26"/>
      <c r="K5" s="26"/>
      <c r="L5" s="26"/>
    </row>
    <row r="6" spans="1:12" s="25" customFormat="1" ht="15.75" customHeight="1" x14ac:dyDescent="0.2">
      <c r="A6" s="148" t="s">
        <v>5</v>
      </c>
      <c r="B6" s="148"/>
      <c r="C6" s="148"/>
      <c r="D6" s="148"/>
      <c r="E6" s="148"/>
      <c r="F6" s="27"/>
      <c r="G6" s="27"/>
    </row>
    <row r="7" spans="1:12" s="25" customFormat="1" ht="15.75" customHeight="1" x14ac:dyDescent="0.2">
      <c r="A7" s="148" t="s">
        <v>48</v>
      </c>
      <c r="B7" s="148"/>
      <c r="C7" s="148"/>
      <c r="D7" s="148"/>
      <c r="E7" s="148"/>
      <c r="F7" s="27"/>
      <c r="G7" s="27"/>
    </row>
    <row r="8" spans="1:12" s="25" customFormat="1" ht="15.75" customHeight="1" thickBot="1" x14ac:dyDescent="0.25">
      <c r="A8" s="149" t="s">
        <v>49</v>
      </c>
      <c r="B8" s="149"/>
      <c r="C8" s="149"/>
      <c r="D8" s="149"/>
      <c r="E8" s="149"/>
      <c r="F8" s="28"/>
      <c r="G8" s="27"/>
    </row>
    <row r="9" spans="1:12" s="25" customFormat="1" ht="15.75" customHeight="1" x14ac:dyDescent="0.2">
      <c r="A9" s="29"/>
      <c r="B9" s="29"/>
      <c r="C9" s="29"/>
      <c r="D9" s="29"/>
      <c r="E9" s="29"/>
      <c r="F9" s="29"/>
      <c r="G9" s="29"/>
    </row>
    <row r="10" spans="1:12" s="25" customFormat="1" ht="15.75" customHeight="1" x14ac:dyDescent="0.2">
      <c r="A10" s="25" t="s">
        <v>50</v>
      </c>
      <c r="B10" s="30">
        <v>2022</v>
      </c>
      <c r="C10" s="25">
        <v>2023</v>
      </c>
      <c r="D10" s="25">
        <v>2024</v>
      </c>
      <c r="E10" s="25">
        <v>2025</v>
      </c>
      <c r="F10" s="25">
        <v>2026</v>
      </c>
    </row>
    <row r="11" spans="1:12" s="25" customFormat="1" ht="15.75" customHeight="1" x14ac:dyDescent="0.2">
      <c r="A11" s="31">
        <v>2</v>
      </c>
    </row>
    <row r="12" spans="1:12" s="25" customFormat="1" ht="15.75" customHeight="1" x14ac:dyDescent="0.2">
      <c r="A12" s="25" t="s">
        <v>97</v>
      </c>
      <c r="B12" s="32">
        <v>6.94</v>
      </c>
      <c r="C12" s="32">
        <v>13.25</v>
      </c>
      <c r="D12" s="32">
        <v>8.35</v>
      </c>
      <c r="E12" s="32">
        <v>5.22</v>
      </c>
      <c r="F12" s="32">
        <v>5.35</v>
      </c>
      <c r="G12" s="32"/>
    </row>
    <row r="13" spans="1:12" s="25" customFormat="1" ht="15.75" customHeight="1" x14ac:dyDescent="0.2">
      <c r="A13" s="25" t="s">
        <v>51</v>
      </c>
      <c r="B13" s="32">
        <v>8.01</v>
      </c>
      <c r="C13" s="32">
        <v>13.28</v>
      </c>
      <c r="D13" s="32">
        <v>7.74</v>
      </c>
      <c r="E13" s="32">
        <v>5.28</v>
      </c>
      <c r="F13" s="32">
        <v>5.29</v>
      </c>
      <c r="G13" s="32"/>
    </row>
    <row r="14" spans="1:12" s="25" customFormat="1" ht="15.75" customHeight="1" x14ac:dyDescent="0.2">
      <c r="A14" s="25" t="s">
        <v>52</v>
      </c>
      <c r="B14" s="32">
        <v>8.5299999999999994</v>
      </c>
      <c r="C14" s="32">
        <v>13.34</v>
      </c>
      <c r="D14" s="32">
        <v>7.36</v>
      </c>
      <c r="E14" s="32">
        <v>5.09</v>
      </c>
      <c r="F14" s="32">
        <v>5.56</v>
      </c>
      <c r="G14" s="32"/>
    </row>
    <row r="15" spans="1:12" s="25" customFormat="1" ht="15.75" customHeight="1" x14ac:dyDescent="0.2">
      <c r="A15" s="25" t="s">
        <v>53</v>
      </c>
      <c r="B15" s="32">
        <v>9.23</v>
      </c>
      <c r="C15" s="32">
        <v>12.82</v>
      </c>
      <c r="D15" s="32">
        <v>7.16</v>
      </c>
      <c r="E15" s="32">
        <v>5.16</v>
      </c>
      <c r="F15" s="32">
        <v>5.69</v>
      </c>
      <c r="G15" s="32"/>
    </row>
    <row r="16" spans="1:12" s="25" customFormat="1" ht="15.75" customHeight="1" x14ac:dyDescent="0.2">
      <c r="A16" s="25" t="s">
        <v>54</v>
      </c>
      <c r="B16" s="32">
        <v>9.07</v>
      </c>
      <c r="C16" s="32">
        <v>12.36</v>
      </c>
      <c r="D16" s="32">
        <v>7.16</v>
      </c>
      <c r="E16" s="32">
        <v>5.05</v>
      </c>
      <c r="F16" s="32">
        <v>5.84</v>
      </c>
      <c r="G16" s="32"/>
    </row>
    <row r="17" spans="1:12" s="25" customFormat="1" ht="15.75" customHeight="1" x14ac:dyDescent="0.2">
      <c r="A17" s="25" t="s">
        <v>55</v>
      </c>
      <c r="B17" s="32">
        <v>9.67</v>
      </c>
      <c r="C17" s="32">
        <v>12.13</v>
      </c>
      <c r="D17" s="32">
        <v>7.18</v>
      </c>
      <c r="E17" s="32">
        <v>4.82</v>
      </c>
      <c r="F17" s="32">
        <v>6.14</v>
      </c>
      <c r="G17" s="32"/>
    </row>
    <row r="18" spans="1:12" s="25" customFormat="1" ht="15.75" customHeight="1" x14ac:dyDescent="0.2">
      <c r="A18" s="25" t="s">
        <v>56</v>
      </c>
      <c r="B18" s="32">
        <v>10.210000000000001</v>
      </c>
      <c r="C18" s="32">
        <v>11.78</v>
      </c>
      <c r="D18" s="32">
        <v>6.86</v>
      </c>
      <c r="E18" s="32">
        <v>4.9000000000000004</v>
      </c>
      <c r="F18" s="32">
        <v>6.02</v>
      </c>
      <c r="G18" s="32"/>
    </row>
    <row r="19" spans="1:12" s="25" customFormat="1" ht="15.75" customHeight="1" x14ac:dyDescent="0.2">
      <c r="A19" s="25" t="s">
        <v>57</v>
      </c>
      <c r="B19" s="32">
        <v>10.84</v>
      </c>
      <c r="C19" s="32">
        <v>11.43</v>
      </c>
      <c r="D19" s="32">
        <v>6.12</v>
      </c>
      <c r="E19" s="32">
        <v>5.0999999999999996</v>
      </c>
      <c r="F19" s="32">
        <v>6.25</v>
      </c>
      <c r="G19" s="32"/>
    </row>
    <row r="20" spans="1:12" s="25" customFormat="1" ht="15.75" customHeight="1" x14ac:dyDescent="0.2">
      <c r="A20" s="25" t="s">
        <v>58</v>
      </c>
      <c r="B20" s="32">
        <v>11.44</v>
      </c>
      <c r="C20" s="32">
        <v>10.99</v>
      </c>
      <c r="D20" s="32">
        <v>5.81</v>
      </c>
      <c r="E20" s="32">
        <v>5.18</v>
      </c>
      <c r="F20" s="32"/>
      <c r="G20" s="32"/>
    </row>
    <row r="21" spans="1:12" s="25" customFormat="1" ht="15.75" customHeight="1" x14ac:dyDescent="0.2">
      <c r="A21" s="25" t="s">
        <v>59</v>
      </c>
      <c r="B21" s="32">
        <v>12.22</v>
      </c>
      <c r="C21" s="32">
        <v>10.48</v>
      </c>
      <c r="D21" s="32">
        <v>5.41</v>
      </c>
      <c r="E21" s="32">
        <v>5.51</v>
      </c>
      <c r="F21" s="32" t="s">
        <v>103</v>
      </c>
      <c r="G21" s="32"/>
    </row>
    <row r="22" spans="1:12" s="25" customFormat="1" ht="15.75" customHeight="1" x14ac:dyDescent="0.2">
      <c r="A22" s="25" t="s">
        <v>60</v>
      </c>
      <c r="B22" s="32">
        <v>12.53</v>
      </c>
      <c r="C22" s="32">
        <v>10.15</v>
      </c>
      <c r="D22" s="32">
        <v>5.2</v>
      </c>
      <c r="E22" s="32">
        <v>5.3</v>
      </c>
      <c r="F22" s="32" t="s">
        <v>103</v>
      </c>
      <c r="G22" s="32"/>
    </row>
    <row r="23" spans="1:12" s="25" customFormat="1" ht="15.75" customHeight="1" x14ac:dyDescent="0.2">
      <c r="A23" s="25" t="s">
        <v>61</v>
      </c>
      <c r="B23" s="32">
        <v>13.12</v>
      </c>
      <c r="C23" s="32">
        <v>9.2799999999999994</v>
      </c>
      <c r="D23" s="32">
        <v>5.2</v>
      </c>
      <c r="E23" s="32">
        <v>5.0999999999999996</v>
      </c>
      <c r="F23" s="32"/>
      <c r="G23" s="32"/>
    </row>
    <row r="24" spans="1:12" s="25" customFormat="1" ht="15.75" customHeight="1" x14ac:dyDescent="0.2"/>
    <row r="25" spans="1:12" s="25" customFormat="1" ht="15.75" customHeight="1" thickBot="1" x14ac:dyDescent="0.25">
      <c r="A25" s="33" t="s">
        <v>62</v>
      </c>
      <c r="B25" s="33"/>
      <c r="C25" s="33"/>
      <c r="D25" s="33"/>
      <c r="E25" s="33"/>
      <c r="F25" s="33"/>
      <c r="G25" s="33"/>
      <c r="H25" s="33"/>
      <c r="I25" s="33"/>
      <c r="J25" s="33"/>
      <c r="K25" s="33"/>
      <c r="L25" s="33"/>
    </row>
    <row r="26" spans="1:12" s="25" customFormat="1" ht="15.75" customHeight="1" x14ac:dyDescent="0.2"/>
    <row r="27" spans="1:12" s="25" customFormat="1" ht="15.75" customHeight="1" x14ac:dyDescent="0.2">
      <c r="A27" s="147" t="s">
        <v>63</v>
      </c>
      <c r="B27" s="147"/>
      <c r="C27" s="147"/>
      <c r="D27" s="147"/>
      <c r="E27" s="147"/>
      <c r="F27" s="26"/>
      <c r="G27" s="26"/>
      <c r="H27" s="26" t="s">
        <v>64</v>
      </c>
      <c r="I27" s="26"/>
      <c r="J27" s="26"/>
      <c r="K27" s="26"/>
      <c r="L27" s="26"/>
    </row>
    <row r="28" spans="1:12" s="25" customFormat="1" ht="15.75" customHeight="1" x14ac:dyDescent="0.2">
      <c r="A28" s="145" t="s">
        <v>150</v>
      </c>
      <c r="B28" s="145"/>
      <c r="C28" s="145"/>
      <c r="D28" s="145"/>
      <c r="E28" s="145"/>
      <c r="F28" s="145"/>
      <c r="G28" s="27"/>
    </row>
    <row r="29" spans="1:12" s="25" customFormat="1" ht="15.75" customHeight="1" x14ac:dyDescent="0.2">
      <c r="A29" s="145" t="s">
        <v>65</v>
      </c>
      <c r="B29" s="148"/>
      <c r="C29" s="148"/>
      <c r="D29" s="148"/>
      <c r="E29" s="148"/>
      <c r="F29" s="27"/>
      <c r="G29" s="27"/>
    </row>
    <row r="30" spans="1:12" s="25" customFormat="1" ht="15.75" customHeight="1" thickBot="1" x14ac:dyDescent="0.25">
      <c r="A30" s="149" t="s">
        <v>49</v>
      </c>
      <c r="B30" s="149"/>
      <c r="C30" s="149"/>
      <c r="D30" s="149"/>
      <c r="E30" s="149"/>
      <c r="F30" s="28"/>
      <c r="G30" s="27"/>
    </row>
    <row r="31" spans="1:12" s="25" customFormat="1" ht="15.75" customHeight="1" x14ac:dyDescent="0.2"/>
    <row r="32" spans="1:12" s="25" customFormat="1" ht="15.75" customHeight="1" x14ac:dyDescent="0.2">
      <c r="A32" s="25" t="s">
        <v>50</v>
      </c>
      <c r="B32" s="25">
        <v>2022</v>
      </c>
      <c r="C32" s="25">
        <v>2023</v>
      </c>
      <c r="D32" s="25">
        <v>2024</v>
      </c>
      <c r="E32" s="25">
        <v>2025</v>
      </c>
      <c r="F32" s="25">
        <v>2026</v>
      </c>
    </row>
    <row r="33" spans="1:12" s="25" customFormat="1" ht="15.75" customHeight="1" x14ac:dyDescent="0.2">
      <c r="A33" s="31">
        <v>3</v>
      </c>
    </row>
    <row r="34" spans="1:12" s="25" customFormat="1" ht="15.75" customHeight="1" x14ac:dyDescent="0.2">
      <c r="A34" s="25" t="s">
        <v>97</v>
      </c>
      <c r="B34" s="32">
        <v>4.37</v>
      </c>
      <c r="C34" s="32">
        <v>12.83</v>
      </c>
      <c r="D34" s="32">
        <v>12.4</v>
      </c>
      <c r="E34" s="32">
        <v>9.24</v>
      </c>
      <c r="F34" s="32">
        <v>10.08</v>
      </c>
      <c r="G34" s="32"/>
    </row>
    <row r="35" spans="1:12" s="25" customFormat="1" ht="15.75" customHeight="1" x14ac:dyDescent="0.2">
      <c r="A35" s="25" t="s">
        <v>51</v>
      </c>
      <c r="B35" s="32">
        <v>5.26</v>
      </c>
      <c r="C35" s="32">
        <v>13.07</v>
      </c>
      <c r="D35" s="32">
        <v>12.23</v>
      </c>
      <c r="E35" s="32">
        <v>9.2899999999999991</v>
      </c>
      <c r="F35" s="32">
        <v>11.14</v>
      </c>
      <c r="G35" s="32"/>
    </row>
    <row r="36" spans="1:12" s="25" customFormat="1" ht="15.75" customHeight="1" x14ac:dyDescent="0.2">
      <c r="A36" s="25" t="s">
        <v>52</v>
      </c>
      <c r="B36" s="32">
        <v>6.35</v>
      </c>
      <c r="C36" s="32">
        <v>13.01</v>
      </c>
      <c r="D36" s="32">
        <v>11.83</v>
      </c>
      <c r="E36" s="32">
        <v>9.33</v>
      </c>
      <c r="F36" s="32">
        <v>11.65</v>
      </c>
      <c r="G36" s="32"/>
    </row>
    <row r="37" spans="1:12" s="25" customFormat="1" ht="15.75" customHeight="1" x14ac:dyDescent="0.2">
      <c r="A37" s="25" t="s">
        <v>53</v>
      </c>
      <c r="B37" s="32">
        <v>6.46</v>
      </c>
      <c r="C37" s="32">
        <v>13.15</v>
      </c>
      <c r="D37" s="32">
        <v>11.56</v>
      </c>
      <c r="E37" s="32">
        <v>9.39</v>
      </c>
      <c r="F37" s="32">
        <v>12.12</v>
      </c>
      <c r="G37" s="32"/>
    </row>
    <row r="38" spans="1:12" s="25" customFormat="1" ht="15.75" customHeight="1" x14ac:dyDescent="0.2">
      <c r="A38" s="25" t="s">
        <v>54</v>
      </c>
      <c r="B38" s="32">
        <v>7.23</v>
      </c>
      <c r="C38" s="32">
        <v>13.24</v>
      </c>
      <c r="D38" s="32">
        <v>11.17</v>
      </c>
      <c r="E38" s="32">
        <v>9.14</v>
      </c>
      <c r="F38" s="32">
        <v>11.91</v>
      </c>
      <c r="G38" s="32"/>
    </row>
    <row r="39" spans="1:12" s="25" customFormat="1" ht="15.75" customHeight="1" x14ac:dyDescent="0.2">
      <c r="A39" s="25" t="s">
        <v>55</v>
      </c>
      <c r="B39" s="32">
        <v>8.33</v>
      </c>
      <c r="C39" s="32">
        <v>13.25</v>
      </c>
      <c r="D39" s="32">
        <v>10.87</v>
      </c>
      <c r="E39" s="32">
        <v>9.11</v>
      </c>
      <c r="F39" s="32">
        <v>12.15</v>
      </c>
      <c r="G39" s="32"/>
    </row>
    <row r="40" spans="1:12" s="25" customFormat="1" ht="15.75" customHeight="1" x14ac:dyDescent="0.2">
      <c r="A40" s="25" t="s">
        <v>56</v>
      </c>
      <c r="B40" s="32">
        <v>9.2799999999999994</v>
      </c>
      <c r="C40" s="32">
        <v>13.11</v>
      </c>
      <c r="D40" s="32">
        <v>10.52</v>
      </c>
      <c r="E40" s="32">
        <v>9.02</v>
      </c>
      <c r="F40" s="32">
        <v>12.48</v>
      </c>
      <c r="G40" s="32"/>
    </row>
    <row r="41" spans="1:12" s="25" customFormat="1" ht="15.75" customHeight="1" x14ac:dyDescent="0.2">
      <c r="A41" s="25" t="s">
        <v>57</v>
      </c>
      <c r="B41" s="32">
        <v>9.98</v>
      </c>
      <c r="C41" s="32">
        <v>13.11</v>
      </c>
      <c r="D41" s="32">
        <v>10.18</v>
      </c>
      <c r="E41" s="32">
        <v>9.18</v>
      </c>
      <c r="F41" s="32">
        <v>12.09</v>
      </c>
      <c r="G41" s="32"/>
    </row>
    <row r="42" spans="1:12" s="25" customFormat="1" ht="15.75" customHeight="1" x14ac:dyDescent="0.2">
      <c r="A42" s="25" t="s">
        <v>58</v>
      </c>
      <c r="B42" s="32">
        <v>10.71</v>
      </c>
      <c r="C42" s="32">
        <v>13.09</v>
      </c>
      <c r="D42" s="32">
        <v>9.7200000000000006</v>
      </c>
      <c r="E42" s="32">
        <v>9.2100000000000009</v>
      </c>
      <c r="F42" s="32">
        <v>12.24</v>
      </c>
      <c r="G42" s="32"/>
    </row>
    <row r="43" spans="1:12" s="25" customFormat="1" ht="15.75" customHeight="1" x14ac:dyDescent="0.2">
      <c r="A43" s="25" t="s">
        <v>59</v>
      </c>
      <c r="B43" s="32">
        <v>11.45</v>
      </c>
      <c r="C43" s="32">
        <v>13.09</v>
      </c>
      <c r="D43" s="32">
        <v>9.4499999999999993</v>
      </c>
      <c r="E43" s="32">
        <v>9.2799999999999994</v>
      </c>
      <c r="F43" s="32" t="s">
        <v>103</v>
      </c>
      <c r="G43" s="32"/>
    </row>
    <row r="44" spans="1:12" s="25" customFormat="1" ht="15.75" customHeight="1" x14ac:dyDescent="0.2">
      <c r="A44" s="25" t="s">
        <v>60</v>
      </c>
      <c r="B44" s="32">
        <v>11.72</v>
      </c>
      <c r="C44" s="32">
        <v>12.92</v>
      </c>
      <c r="D44" s="32">
        <v>9.25</v>
      </c>
      <c r="E44" s="32">
        <v>9.4700000000000006</v>
      </c>
      <c r="F44" s="32" t="s">
        <v>103</v>
      </c>
      <c r="G44" s="32"/>
    </row>
    <row r="45" spans="1:12" s="25" customFormat="1" ht="15.75" customHeight="1" x14ac:dyDescent="0.2">
      <c r="A45" s="25" t="s">
        <v>61</v>
      </c>
      <c r="B45" s="32">
        <v>12.36</v>
      </c>
      <c r="C45" s="32">
        <v>12.71</v>
      </c>
      <c r="D45" s="32">
        <v>9.4</v>
      </c>
      <c r="E45" s="32">
        <v>9.8800000000000008</v>
      </c>
      <c r="F45" s="32" t="s">
        <v>103</v>
      </c>
      <c r="G45" s="32"/>
    </row>
    <row r="46" spans="1:12" s="25" customFormat="1" ht="15.75" customHeight="1" x14ac:dyDescent="0.2">
      <c r="A46" s="30"/>
      <c r="B46" s="37"/>
      <c r="C46" s="37"/>
      <c r="D46" s="37"/>
      <c r="E46" s="37"/>
      <c r="F46" s="30"/>
      <c r="G46" s="37"/>
      <c r="H46" s="30"/>
      <c r="I46" s="30"/>
      <c r="J46" s="30"/>
      <c r="K46" s="30"/>
      <c r="L46" s="30"/>
    </row>
    <row r="47" spans="1:12" s="25" customFormat="1" ht="15.75" customHeight="1" thickBot="1" x14ac:dyDescent="0.25">
      <c r="A47" s="54" t="s">
        <v>66</v>
      </c>
      <c r="B47" s="55"/>
      <c r="C47" s="55"/>
      <c r="D47" s="55"/>
      <c r="E47" s="55"/>
      <c r="F47" s="54"/>
      <c r="G47" s="55"/>
      <c r="H47" s="54"/>
      <c r="I47" s="54"/>
      <c r="J47" s="54"/>
      <c r="K47" s="54"/>
      <c r="L47" s="54"/>
    </row>
    <row r="48" spans="1:12" s="25" customFormat="1" ht="15.75" customHeight="1" x14ac:dyDescent="0.2">
      <c r="B48" s="32"/>
      <c r="C48" s="32"/>
      <c r="D48" s="32"/>
      <c r="E48" s="32"/>
      <c r="G48" s="32"/>
      <c r="H48" s="25" t="s">
        <v>91</v>
      </c>
    </row>
    <row r="49" spans="1:12" s="25" customFormat="1" ht="15.75" customHeight="1" x14ac:dyDescent="0.2">
      <c r="A49" s="147" t="s">
        <v>67</v>
      </c>
      <c r="B49" s="147"/>
      <c r="C49" s="147"/>
      <c r="D49" s="147"/>
      <c r="E49" s="147"/>
      <c r="F49" s="26"/>
      <c r="G49" s="26"/>
      <c r="H49" s="26" t="s">
        <v>68</v>
      </c>
      <c r="I49" s="26"/>
      <c r="J49" s="26"/>
      <c r="K49" s="26"/>
      <c r="L49" s="26"/>
    </row>
    <row r="50" spans="1:12" s="25" customFormat="1" ht="15.75" customHeight="1" x14ac:dyDescent="0.2">
      <c r="A50" s="148" t="s">
        <v>69</v>
      </c>
      <c r="B50" s="148"/>
      <c r="C50" s="148"/>
      <c r="D50" s="148"/>
      <c r="E50" s="148"/>
      <c r="F50" s="27"/>
      <c r="G50" s="27"/>
    </row>
    <row r="51" spans="1:12" s="25" customFormat="1" ht="15.75" customHeight="1" x14ac:dyDescent="0.2">
      <c r="A51" s="148" t="s">
        <v>70</v>
      </c>
      <c r="B51" s="148"/>
      <c r="C51" s="148"/>
      <c r="D51" s="148"/>
      <c r="E51" s="148"/>
      <c r="F51" s="27"/>
      <c r="G51" s="27"/>
    </row>
    <row r="52" spans="1:12" s="25" customFormat="1" ht="15.75" customHeight="1" thickBot="1" x14ac:dyDescent="0.25">
      <c r="A52" s="150" t="s">
        <v>71</v>
      </c>
      <c r="B52" s="151"/>
      <c r="C52" s="151"/>
      <c r="D52" s="151"/>
      <c r="E52" s="151"/>
      <c r="F52" s="40"/>
      <c r="G52" s="29"/>
      <c r="H52" s="145"/>
      <c r="I52" s="148"/>
      <c r="J52" s="148"/>
      <c r="K52" s="148"/>
      <c r="L52" s="148"/>
    </row>
    <row r="53" spans="1:12" s="25" customFormat="1" ht="15.75" customHeight="1" x14ac:dyDescent="0.2"/>
    <row r="54" spans="1:12" s="25" customFormat="1" ht="15.75" customHeight="1" x14ac:dyDescent="0.2">
      <c r="A54" s="25" t="s">
        <v>50</v>
      </c>
      <c r="B54" s="25">
        <v>2022</v>
      </c>
      <c r="C54" s="25">
        <v>2023</v>
      </c>
      <c r="D54" s="25">
        <v>2024</v>
      </c>
      <c r="E54" s="25">
        <v>2025</v>
      </c>
      <c r="F54" s="25">
        <v>2026</v>
      </c>
    </row>
    <row r="55" spans="1:12" s="25" customFormat="1" ht="15.75" customHeight="1" x14ac:dyDescent="0.2">
      <c r="A55" s="31">
        <v>4</v>
      </c>
    </row>
    <row r="56" spans="1:12" s="25" customFormat="1" ht="15.75" customHeight="1" x14ac:dyDescent="0.2">
      <c r="A56" s="25" t="s">
        <v>97</v>
      </c>
      <c r="B56" s="46">
        <v>3982.6</v>
      </c>
      <c r="C56" s="46">
        <v>4632.2</v>
      </c>
      <c r="D56" s="46">
        <v>3925.6</v>
      </c>
      <c r="E56" s="46">
        <v>4170.01</v>
      </c>
      <c r="F56" s="46">
        <v>3670.47</v>
      </c>
      <c r="G56" s="32"/>
      <c r="H56" s="152"/>
      <c r="I56" s="152"/>
      <c r="J56" s="152"/>
      <c r="K56" s="152"/>
      <c r="L56" s="152"/>
    </row>
    <row r="57" spans="1:12" s="25" customFormat="1" ht="15.75" customHeight="1" x14ac:dyDescent="0.2">
      <c r="A57" s="25" t="s">
        <v>51</v>
      </c>
      <c r="B57" s="46">
        <v>3910.64</v>
      </c>
      <c r="C57" s="46">
        <v>4808.1400000000003</v>
      </c>
      <c r="D57" s="46">
        <v>3933.56</v>
      </c>
      <c r="E57" s="46">
        <v>4120.1099999999997</v>
      </c>
      <c r="F57" s="46">
        <v>3766.3</v>
      </c>
      <c r="G57" s="32"/>
    </row>
    <row r="58" spans="1:12" s="25" customFormat="1" ht="15.75" customHeight="1" x14ac:dyDescent="0.2">
      <c r="A58" s="25" t="s">
        <v>52</v>
      </c>
      <c r="B58" s="46">
        <v>3748.15</v>
      </c>
      <c r="C58" s="46">
        <v>4627.2700000000004</v>
      </c>
      <c r="D58" s="46">
        <v>3842.3</v>
      </c>
      <c r="E58" s="46">
        <v>4192.57</v>
      </c>
      <c r="F58" s="46">
        <v>3669.96</v>
      </c>
      <c r="G58" s="32"/>
    </row>
    <row r="59" spans="1:12" s="25" customFormat="1" ht="15.75" customHeight="1" x14ac:dyDescent="0.2">
      <c r="A59" s="25" t="s">
        <v>53</v>
      </c>
      <c r="B59" s="46">
        <v>3966.27</v>
      </c>
      <c r="C59" s="46">
        <v>4669</v>
      </c>
      <c r="D59" s="46">
        <v>3873.44</v>
      </c>
      <c r="E59" s="46">
        <v>4198.83</v>
      </c>
      <c r="F59" s="46">
        <v>3621.86</v>
      </c>
      <c r="G59" s="32"/>
    </row>
    <row r="60" spans="1:12" s="25" customFormat="1" ht="15.75" customHeight="1" x14ac:dyDescent="0.2">
      <c r="A60" s="25" t="s">
        <v>54</v>
      </c>
      <c r="B60" s="46">
        <v>3912.34</v>
      </c>
      <c r="C60" s="46">
        <v>4408.6499999999996</v>
      </c>
      <c r="D60" s="46">
        <v>3874.32</v>
      </c>
      <c r="E60" s="46">
        <v>4148.72</v>
      </c>
      <c r="F60" s="46">
        <v>3678.15</v>
      </c>
      <c r="G60" s="32"/>
    </row>
    <row r="61" spans="1:12" s="25" customFormat="1" ht="15.75" customHeight="1" x14ac:dyDescent="0.2">
      <c r="A61" s="25" t="s">
        <v>55</v>
      </c>
      <c r="B61" s="46">
        <v>4127.47</v>
      </c>
      <c r="C61" s="46">
        <v>4191.28</v>
      </c>
      <c r="D61" s="46">
        <v>4148.04</v>
      </c>
      <c r="E61" s="46">
        <v>4069.67</v>
      </c>
      <c r="F61" s="46">
        <v>3443.59</v>
      </c>
      <c r="G61" s="32"/>
    </row>
    <row r="62" spans="1:12" s="25" customFormat="1" ht="15.75" customHeight="1" x14ac:dyDescent="0.2">
      <c r="A62" s="25" t="s">
        <v>56</v>
      </c>
      <c r="B62" s="46">
        <v>4300.3</v>
      </c>
      <c r="C62" s="46">
        <v>3923.49</v>
      </c>
      <c r="D62" s="46">
        <v>4089.05</v>
      </c>
      <c r="E62" s="46">
        <v>4179.6899999999996</v>
      </c>
      <c r="F62" s="46">
        <v>3132.42</v>
      </c>
      <c r="G62" s="32"/>
    </row>
    <row r="63" spans="1:12" s="25" customFormat="1" ht="15.75" customHeight="1" x14ac:dyDescent="0.2">
      <c r="A63" s="25" t="s">
        <v>57</v>
      </c>
      <c r="B63" s="46">
        <v>4400.16</v>
      </c>
      <c r="C63" s="46">
        <v>4085.33</v>
      </c>
      <c r="D63" s="46">
        <v>4160.3100000000004</v>
      </c>
      <c r="E63" s="46">
        <v>4018.41</v>
      </c>
      <c r="F63" s="46">
        <v>3202.79</v>
      </c>
      <c r="G63" s="32"/>
    </row>
    <row r="64" spans="1:12" s="25" customFormat="1" ht="15.75" customHeight="1" x14ac:dyDescent="0.2">
      <c r="A64" s="25" t="s">
        <v>58</v>
      </c>
      <c r="B64" s="46">
        <v>4532.07</v>
      </c>
      <c r="C64" s="46">
        <v>4053.76</v>
      </c>
      <c r="D64" s="46">
        <v>4164.21</v>
      </c>
      <c r="E64" s="46">
        <v>3901.29</v>
      </c>
      <c r="F64" s="46">
        <v>3341.23</v>
      </c>
      <c r="G64" s="32"/>
    </row>
    <row r="65" spans="1:12" s="25" customFormat="1" ht="15.75" customHeight="1" x14ac:dyDescent="0.2">
      <c r="A65" s="25" t="s">
        <v>59</v>
      </c>
      <c r="B65" s="46">
        <v>4819.12</v>
      </c>
      <c r="C65" s="46">
        <v>4060.83</v>
      </c>
      <c r="D65" s="46">
        <v>4413.46</v>
      </c>
      <c r="E65" s="46">
        <v>3870.42</v>
      </c>
      <c r="F65" s="46" t="s">
        <v>103</v>
      </c>
      <c r="G65" s="32"/>
    </row>
    <row r="66" spans="1:12" s="25" customFormat="1" ht="15.75" customHeight="1" x14ac:dyDescent="0.2">
      <c r="A66" s="25" t="s">
        <v>60</v>
      </c>
      <c r="B66" s="46">
        <v>4809.51</v>
      </c>
      <c r="C66" s="46">
        <v>3980.67</v>
      </c>
      <c r="D66" s="46">
        <v>4419.59</v>
      </c>
      <c r="E66" s="46">
        <v>3744.43</v>
      </c>
      <c r="F66" s="46" t="s">
        <v>103</v>
      </c>
      <c r="G66" s="32"/>
    </row>
    <row r="67" spans="1:12" s="25" customFormat="1" ht="15.75" customHeight="1" x14ac:dyDescent="0.2">
      <c r="A67" s="25" t="s">
        <v>61</v>
      </c>
      <c r="B67" s="46">
        <v>4810.2</v>
      </c>
      <c r="C67" s="46">
        <v>3822.05</v>
      </c>
      <c r="D67" s="46">
        <v>4409.1499999999996</v>
      </c>
      <c r="E67" s="46">
        <v>3757.08</v>
      </c>
      <c r="F67" s="46" t="s">
        <v>103</v>
      </c>
      <c r="G67" s="32"/>
    </row>
    <row r="68" spans="1:12" s="25" customFormat="1" ht="15.75" customHeight="1" x14ac:dyDescent="0.2">
      <c r="B68" s="32"/>
      <c r="C68" s="32"/>
    </row>
    <row r="69" spans="1:12" s="25" customFormat="1" ht="15.75" customHeight="1" thickBot="1" x14ac:dyDescent="0.25">
      <c r="A69" s="33" t="s">
        <v>72</v>
      </c>
      <c r="B69" s="33"/>
      <c r="C69" s="34"/>
      <c r="D69" s="34"/>
      <c r="E69" s="33"/>
      <c r="F69" s="33"/>
      <c r="G69" s="33"/>
      <c r="H69" s="33"/>
      <c r="I69" s="33"/>
      <c r="J69" s="33"/>
      <c r="K69" s="33"/>
      <c r="L69" s="33"/>
    </row>
    <row r="70" spans="1:12" s="25" customFormat="1" ht="15.75" customHeight="1" x14ac:dyDescent="0.2">
      <c r="C70" s="32"/>
      <c r="D70" s="32"/>
    </row>
    <row r="71" spans="1:12" s="25" customFormat="1" ht="15.75" customHeight="1" x14ac:dyDescent="0.2">
      <c r="A71" s="147" t="s">
        <v>73</v>
      </c>
      <c r="B71" s="147"/>
      <c r="C71" s="147"/>
      <c r="D71" s="147"/>
      <c r="E71" s="147"/>
      <c r="F71" s="26"/>
      <c r="G71" s="26"/>
      <c r="H71" s="26" t="s">
        <v>74</v>
      </c>
      <c r="I71" s="26"/>
      <c r="J71" s="26"/>
      <c r="K71" s="26"/>
      <c r="L71" s="26"/>
    </row>
    <row r="72" spans="1:12" s="25" customFormat="1" ht="15.75" customHeight="1" x14ac:dyDescent="0.2">
      <c r="A72" s="148" t="s">
        <v>89</v>
      </c>
      <c r="B72" s="148"/>
      <c r="C72" s="148"/>
      <c r="D72" s="148"/>
      <c r="E72" s="148"/>
      <c r="F72" s="27"/>
      <c r="G72" s="27"/>
    </row>
    <row r="73" spans="1:12" s="25" customFormat="1" ht="15.75" customHeight="1" thickBot="1" x14ac:dyDescent="0.25">
      <c r="A73" s="151" t="s">
        <v>49</v>
      </c>
      <c r="B73" s="151"/>
      <c r="C73" s="151"/>
      <c r="D73" s="151"/>
      <c r="E73" s="151"/>
      <c r="F73" s="40"/>
      <c r="G73" s="29"/>
    </row>
    <row r="74" spans="1:12" s="25" customFormat="1" ht="15.75" customHeight="1" x14ac:dyDescent="0.2">
      <c r="A74" s="25" t="s">
        <v>50</v>
      </c>
      <c r="B74" s="25">
        <v>2022</v>
      </c>
      <c r="C74" s="25">
        <v>2023</v>
      </c>
      <c r="D74" s="25">
        <v>2024</v>
      </c>
      <c r="E74" s="25">
        <v>2025</v>
      </c>
      <c r="F74" s="25">
        <v>2026</v>
      </c>
    </row>
    <row r="75" spans="1:12" s="25" customFormat="1" ht="15.75" customHeight="1" x14ac:dyDescent="0.2">
      <c r="A75" s="31">
        <v>5</v>
      </c>
    </row>
    <row r="76" spans="1:12" s="25" customFormat="1" ht="15.75" customHeight="1" x14ac:dyDescent="0.2">
      <c r="A76" s="25" t="s">
        <v>97</v>
      </c>
      <c r="B76" s="32">
        <v>11.89</v>
      </c>
      <c r="C76" s="32">
        <v>16.309999999999999</v>
      </c>
      <c r="D76" s="32">
        <v>-15.25</v>
      </c>
      <c r="E76" s="32">
        <v>6.23</v>
      </c>
      <c r="F76" s="32">
        <v>-11.98</v>
      </c>
      <c r="G76" s="32"/>
    </row>
    <row r="77" spans="1:12" s="25" customFormat="1" ht="15.75" customHeight="1" x14ac:dyDescent="0.2">
      <c r="A77" s="25" t="s">
        <v>51</v>
      </c>
      <c r="B77" s="32">
        <v>7.9</v>
      </c>
      <c r="C77" s="32">
        <v>22.95</v>
      </c>
      <c r="D77" s="32">
        <v>-18.190000000000001</v>
      </c>
      <c r="E77" s="32">
        <v>4.74</v>
      </c>
      <c r="F77" s="32">
        <v>-8.59</v>
      </c>
      <c r="G77" s="32"/>
    </row>
    <row r="78" spans="1:12" s="25" customFormat="1" ht="15.75" customHeight="1" x14ac:dyDescent="0.2">
      <c r="A78" s="25" t="s">
        <v>52</v>
      </c>
      <c r="B78" s="32">
        <v>0.3</v>
      </c>
      <c r="C78" s="32">
        <v>23.45</v>
      </c>
      <c r="D78" s="32">
        <v>-16.96</v>
      </c>
      <c r="E78" s="32">
        <v>9.1199999999999992</v>
      </c>
      <c r="F78" s="32">
        <v>-12.47</v>
      </c>
      <c r="G78" s="32"/>
    </row>
    <row r="79" spans="1:12" s="25" customFormat="1" ht="15.75" customHeight="1" x14ac:dyDescent="0.2">
      <c r="A79" s="25" t="s">
        <v>53</v>
      </c>
      <c r="B79" s="32">
        <v>6.82</v>
      </c>
      <c r="C79" s="32">
        <v>17.72</v>
      </c>
      <c r="D79" s="32">
        <v>-17.04</v>
      </c>
      <c r="E79" s="32">
        <v>8.4</v>
      </c>
      <c r="F79" s="32">
        <v>-13.74</v>
      </c>
      <c r="G79" s="32"/>
    </row>
    <row r="80" spans="1:12" s="25" customFormat="1" ht="15.75" customHeight="1" x14ac:dyDescent="0.2">
      <c r="A80" s="25" t="s">
        <v>54</v>
      </c>
      <c r="B80" s="32">
        <v>5.3</v>
      </c>
      <c r="C80" s="32">
        <v>12.69</v>
      </c>
      <c r="D80" s="32">
        <v>-12.12</v>
      </c>
      <c r="E80" s="32">
        <v>7.08</v>
      </c>
      <c r="F80" s="32">
        <v>-11.34</v>
      </c>
      <c r="G80" s="32"/>
    </row>
    <row r="81" spans="1:12" s="25" customFormat="1" ht="15.75" customHeight="1" x14ac:dyDescent="0.2">
      <c r="A81" s="25" t="s">
        <v>55</v>
      </c>
      <c r="B81" s="32">
        <v>9.8699999999999992</v>
      </c>
      <c r="C81" s="32">
        <v>1.55</v>
      </c>
      <c r="D81" s="32">
        <v>-1.03</v>
      </c>
      <c r="E81" s="32">
        <v>-1.89</v>
      </c>
      <c r="F81" s="32">
        <v>-15.38</v>
      </c>
      <c r="G81" s="32"/>
    </row>
    <row r="82" spans="1:12" s="25" customFormat="1" ht="15.75" customHeight="1" x14ac:dyDescent="0.2">
      <c r="A82" s="25" t="s">
        <v>56</v>
      </c>
      <c r="B82" s="32">
        <v>11.18</v>
      </c>
      <c r="C82" s="32">
        <v>-8.76</v>
      </c>
      <c r="D82" s="32">
        <v>4.22</v>
      </c>
      <c r="E82" s="32">
        <v>2.2200000000000002</v>
      </c>
      <c r="F82" s="32">
        <v>-25.06</v>
      </c>
      <c r="G82" s="32"/>
    </row>
    <row r="83" spans="1:12" s="25" customFormat="1" ht="15.75" customHeight="1" x14ac:dyDescent="0.2">
      <c r="A83" s="25" t="s">
        <v>57</v>
      </c>
      <c r="B83" s="32">
        <v>15.58</v>
      </c>
      <c r="C83" s="32">
        <v>-7.15</v>
      </c>
      <c r="D83" s="32">
        <v>1.84</v>
      </c>
      <c r="E83" s="32">
        <v>-3.41</v>
      </c>
      <c r="F83" s="32">
        <v>-20.3</v>
      </c>
      <c r="G83" s="32"/>
    </row>
    <row r="84" spans="1:12" s="25" customFormat="1" ht="15.75" customHeight="1" x14ac:dyDescent="0.2">
      <c r="A84" s="25" t="s">
        <v>58</v>
      </c>
      <c r="B84" s="32">
        <v>18.190000000000001</v>
      </c>
      <c r="C84" s="32">
        <v>-10.55</v>
      </c>
      <c r="D84" s="32">
        <v>2.72</v>
      </c>
      <c r="E84" s="32">
        <v>-6.31</v>
      </c>
      <c r="F84" s="32">
        <v>-14.36</v>
      </c>
      <c r="G84" s="32"/>
    </row>
    <row r="85" spans="1:12" s="25" customFormat="1" ht="15.75" customHeight="1" x14ac:dyDescent="0.2">
      <c r="A85" s="25" t="s">
        <v>59</v>
      </c>
      <c r="B85" s="32">
        <v>27.34</v>
      </c>
      <c r="C85" s="32">
        <v>-15.74</v>
      </c>
      <c r="D85" s="32">
        <v>8.68</v>
      </c>
      <c r="E85" s="32">
        <v>-12.3</v>
      </c>
      <c r="F85" s="32" t="s">
        <v>103</v>
      </c>
      <c r="G85" s="32"/>
    </row>
    <row r="86" spans="1:12" s="25" customFormat="1" ht="15.75" customHeight="1" x14ac:dyDescent="0.2">
      <c r="A86" s="25" t="s">
        <v>60</v>
      </c>
      <c r="B86" s="32">
        <v>19.91</v>
      </c>
      <c r="C86" s="32">
        <v>-17.23</v>
      </c>
      <c r="D86" s="32">
        <v>11.03</v>
      </c>
      <c r="E86" s="32">
        <v>-15.28</v>
      </c>
      <c r="F86" s="32" t="s">
        <v>103</v>
      </c>
      <c r="G86" s="32"/>
    </row>
    <row r="87" spans="1:12" s="25" customFormat="1" ht="15.75" customHeight="1" x14ac:dyDescent="0.2">
      <c r="A87" s="25" t="s">
        <v>61</v>
      </c>
      <c r="B87" s="32">
        <v>20.82</v>
      </c>
      <c r="C87" s="32">
        <v>-20.54</v>
      </c>
      <c r="D87" s="32">
        <v>15.36</v>
      </c>
      <c r="E87" s="32">
        <v>-14.79</v>
      </c>
      <c r="F87" s="32" t="s">
        <v>103</v>
      </c>
      <c r="G87" s="32"/>
    </row>
    <row r="88" spans="1:12" s="25" customFormat="1" ht="15.75" customHeight="1" x14ac:dyDescent="0.2">
      <c r="B88" s="32"/>
      <c r="C88" s="32"/>
      <c r="D88" s="32"/>
      <c r="E88" s="32"/>
      <c r="F88" s="32"/>
      <c r="G88" s="32"/>
    </row>
    <row r="89" spans="1:12" s="25" customFormat="1" ht="15.75" customHeight="1" x14ac:dyDescent="0.2">
      <c r="B89" s="32"/>
      <c r="C89" s="32"/>
      <c r="D89" s="32"/>
      <c r="E89" s="32"/>
      <c r="F89" s="32"/>
      <c r="G89" s="32"/>
    </row>
    <row r="90" spans="1:12" s="25" customFormat="1" ht="15.75" customHeight="1" thickBot="1" x14ac:dyDescent="0.25">
      <c r="A90" s="33" t="s">
        <v>72</v>
      </c>
      <c r="B90" s="34"/>
      <c r="C90" s="34"/>
      <c r="D90" s="34"/>
      <c r="E90" s="34"/>
      <c r="F90" s="34"/>
      <c r="G90" s="34"/>
      <c r="H90" s="33"/>
      <c r="I90" s="33"/>
      <c r="J90" s="33"/>
      <c r="K90" s="33"/>
      <c r="L90" s="33"/>
    </row>
    <row r="91" spans="1:12" s="25" customFormat="1" ht="15.75" customHeight="1" x14ac:dyDescent="0.2">
      <c r="B91" s="32"/>
      <c r="C91" s="32"/>
      <c r="D91" s="32"/>
      <c r="E91" s="32"/>
      <c r="F91" s="32"/>
      <c r="G91" s="32"/>
    </row>
    <row r="92" spans="1:12" s="25" customFormat="1" ht="15.75" customHeight="1" x14ac:dyDescent="0.2">
      <c r="A92" s="147" t="s">
        <v>75</v>
      </c>
      <c r="B92" s="147"/>
      <c r="C92" s="147"/>
      <c r="D92" s="147"/>
      <c r="E92" s="147"/>
      <c r="F92" s="26"/>
      <c r="G92" s="26"/>
      <c r="H92" s="26" t="s">
        <v>76</v>
      </c>
      <c r="I92" s="26"/>
      <c r="J92" s="26"/>
      <c r="K92" s="26"/>
      <c r="L92" s="26"/>
    </row>
    <row r="93" spans="1:12" s="25" customFormat="1" ht="15.75" customHeight="1" x14ac:dyDescent="0.2">
      <c r="A93" s="148" t="s">
        <v>77</v>
      </c>
      <c r="B93" s="148"/>
      <c r="C93" s="148"/>
      <c r="D93" s="148"/>
      <c r="E93" s="148"/>
      <c r="F93" s="27"/>
      <c r="G93" s="27"/>
    </row>
    <row r="94" spans="1:12" s="25" customFormat="1" ht="15.75" customHeight="1" thickBot="1" x14ac:dyDescent="0.25">
      <c r="A94" s="151" t="s">
        <v>49</v>
      </c>
      <c r="B94" s="151"/>
      <c r="C94" s="151"/>
      <c r="D94" s="151"/>
      <c r="E94" s="151"/>
      <c r="F94" s="40"/>
      <c r="G94" s="29"/>
    </row>
    <row r="95" spans="1:12" s="25" customFormat="1" ht="15.75" customHeight="1" x14ac:dyDescent="0.2"/>
    <row r="96" spans="1:12" s="25" customFormat="1" ht="15.75" customHeight="1" x14ac:dyDescent="0.2">
      <c r="A96" s="25" t="s">
        <v>78</v>
      </c>
      <c r="B96" s="35" t="s">
        <v>251</v>
      </c>
      <c r="C96" s="35" t="s">
        <v>252</v>
      </c>
      <c r="D96" s="35" t="s">
        <v>253</v>
      </c>
      <c r="E96" s="35" t="s">
        <v>254</v>
      </c>
      <c r="F96" s="35" t="s">
        <v>255</v>
      </c>
      <c r="G96" s="29"/>
    </row>
    <row r="97" spans="1:12" s="25" customFormat="1" ht="15.75" customHeight="1" x14ac:dyDescent="0.2">
      <c r="A97" s="29"/>
    </row>
    <row r="98" spans="1:12" s="25" customFormat="1" ht="15.75" customHeight="1" x14ac:dyDescent="0.2">
      <c r="A98" s="31">
        <v>2</v>
      </c>
    </row>
    <row r="99" spans="1:12" s="25" customFormat="1" ht="15.75" customHeight="1" x14ac:dyDescent="0.2">
      <c r="A99" s="36" t="s">
        <v>79</v>
      </c>
      <c r="B99" s="37">
        <v>7.6790433645437552</v>
      </c>
      <c r="C99" s="37">
        <v>2.674944025625539</v>
      </c>
      <c r="D99" s="37">
        <v>0.55915009126959747</v>
      </c>
      <c r="E99" s="37">
        <v>2.1968992188072485</v>
      </c>
      <c r="F99" s="37">
        <v>2.3930134147764233</v>
      </c>
      <c r="G99" s="38"/>
    </row>
    <row r="100" spans="1:12" s="25" customFormat="1" ht="15.75" customHeight="1" x14ac:dyDescent="0.2">
      <c r="A100" s="36" t="s">
        <v>80</v>
      </c>
      <c r="B100" s="37">
        <v>12.549059818293948</v>
      </c>
      <c r="C100" s="37">
        <v>0.43905595868866759</v>
      </c>
      <c r="D100" s="37">
        <v>1.2059714801297097</v>
      </c>
      <c r="E100" s="37">
        <v>2.28250327285433</v>
      </c>
      <c r="F100" s="37">
        <v>3.366898924540525</v>
      </c>
      <c r="G100" s="38"/>
    </row>
    <row r="101" spans="1:12" s="25" customFormat="1" ht="15.75" customHeight="1" x14ac:dyDescent="0.2">
      <c r="A101" s="36" t="s">
        <v>81</v>
      </c>
      <c r="B101" s="37">
        <v>7.3699155471282625</v>
      </c>
      <c r="C101" s="37">
        <v>-0.38501206832535828</v>
      </c>
      <c r="D101" s="37">
        <v>1.6354453943640115</v>
      </c>
      <c r="E101" s="37">
        <v>3.7804902823799349</v>
      </c>
      <c r="F101" s="37" t="s">
        <v>103</v>
      </c>
      <c r="G101" s="38"/>
    </row>
    <row r="102" spans="1:12" s="25" customFormat="1" ht="15.75" customHeight="1" x14ac:dyDescent="0.2">
      <c r="A102" s="36" t="s">
        <v>82</v>
      </c>
      <c r="B102" s="37">
        <v>2.2228250788833224</v>
      </c>
      <c r="C102" s="37">
        <v>0.67878523466029617</v>
      </c>
      <c r="D102" s="37">
        <v>2.5733746647533331</v>
      </c>
      <c r="E102" s="37">
        <v>2.0251775663378231</v>
      </c>
      <c r="F102" s="37" t="s">
        <v>103</v>
      </c>
      <c r="G102" s="38"/>
    </row>
    <row r="103" spans="1:12" s="25" customFormat="1" ht="15.75" customHeight="1" x14ac:dyDescent="0.2">
      <c r="A103" s="39"/>
      <c r="B103" s="30"/>
      <c r="C103" s="30"/>
      <c r="D103" s="30"/>
      <c r="E103" s="30"/>
      <c r="F103" s="30"/>
    </row>
    <row r="104" spans="1:12" s="25" customFormat="1" ht="15.75" customHeight="1" x14ac:dyDescent="0.2">
      <c r="A104" s="36"/>
      <c r="B104" s="32"/>
    </row>
    <row r="105" spans="1:12" s="25" customFormat="1" ht="15.75" customHeight="1" x14ac:dyDescent="0.2">
      <c r="A105" s="36"/>
      <c r="B105" s="32"/>
    </row>
    <row r="106" spans="1:12" s="25" customFormat="1" ht="15.75" customHeight="1" x14ac:dyDescent="0.2">
      <c r="A106" s="36"/>
      <c r="B106" s="32"/>
    </row>
    <row r="107" spans="1:12" s="25" customFormat="1" ht="15.75" customHeight="1" x14ac:dyDescent="0.2">
      <c r="A107" s="25" t="s">
        <v>83</v>
      </c>
      <c r="B107" s="32"/>
    </row>
    <row r="108" spans="1:12" s="25" customFormat="1" ht="15.75" customHeight="1" x14ac:dyDescent="0.2">
      <c r="B108" s="32"/>
    </row>
    <row r="109" spans="1:12" s="25" customFormat="1" ht="15.75" customHeight="1" x14ac:dyDescent="0.2">
      <c r="A109" s="45" t="s">
        <v>131</v>
      </c>
      <c r="B109" s="32"/>
      <c r="C109" s="32"/>
      <c r="D109" s="32"/>
      <c r="E109" s="32"/>
      <c r="G109" s="32"/>
    </row>
    <row r="110" spans="1:12" s="25" customFormat="1" ht="15.75" customHeight="1" x14ac:dyDescent="0.2">
      <c r="A110" s="25" t="s">
        <v>110</v>
      </c>
      <c r="B110" s="32"/>
      <c r="C110" s="32"/>
      <c r="D110" s="32"/>
      <c r="E110" s="32"/>
      <c r="G110" s="32"/>
    </row>
    <row r="111" spans="1:12" s="25" customFormat="1" ht="15.75" customHeight="1" thickBot="1" x14ac:dyDescent="0.25">
      <c r="A111" s="33" t="s">
        <v>109</v>
      </c>
      <c r="B111" s="33"/>
      <c r="C111" s="33"/>
      <c r="D111" s="33"/>
      <c r="E111" s="33"/>
      <c r="F111" s="33"/>
      <c r="G111" s="33"/>
      <c r="H111" s="33"/>
      <c r="I111" s="33"/>
      <c r="J111" s="33"/>
      <c r="K111" s="33"/>
      <c r="L111" s="33"/>
    </row>
    <row r="112" spans="1:12" s="25" customFormat="1" ht="15.75" customHeight="1" x14ac:dyDescent="0.2"/>
    <row r="113" spans="1:12" s="25" customFormat="1" ht="15.75" customHeight="1" x14ac:dyDescent="0.2">
      <c r="A113" s="147" t="s">
        <v>84</v>
      </c>
      <c r="B113" s="147"/>
      <c r="C113" s="147"/>
      <c r="D113" s="147"/>
      <c r="E113" s="147"/>
      <c r="F113" s="26"/>
      <c r="G113" s="26"/>
      <c r="H113" s="26" t="s">
        <v>85</v>
      </c>
      <c r="I113" s="26"/>
      <c r="J113" s="26"/>
      <c r="K113" s="26"/>
      <c r="L113" s="26"/>
    </row>
    <row r="114" spans="1:12" s="25" customFormat="1" ht="15.75" customHeight="1" x14ac:dyDescent="0.2">
      <c r="A114" s="148" t="s">
        <v>86</v>
      </c>
      <c r="B114" s="148"/>
      <c r="C114" s="148"/>
      <c r="D114" s="148"/>
      <c r="E114" s="148"/>
      <c r="F114" s="27"/>
      <c r="G114" s="27"/>
    </row>
    <row r="115" spans="1:12" s="25" customFormat="1" ht="15.75" customHeight="1" x14ac:dyDescent="0.2">
      <c r="A115" s="147" t="s">
        <v>87</v>
      </c>
      <c r="B115" s="147"/>
      <c r="C115" s="147"/>
      <c r="D115" s="147"/>
      <c r="E115" s="147"/>
      <c r="F115" s="29"/>
      <c r="G115" s="29"/>
    </row>
    <row r="116" spans="1:12" s="25" customFormat="1" ht="15.75" customHeight="1" thickBot="1" x14ac:dyDescent="0.25">
      <c r="A116" s="33"/>
      <c r="B116" s="40"/>
      <c r="C116" s="40" t="s">
        <v>49</v>
      </c>
      <c r="D116" s="40"/>
      <c r="E116" s="40"/>
      <c r="F116" s="40"/>
      <c r="G116" s="29"/>
    </row>
    <row r="117" spans="1:12" s="25" customFormat="1" ht="15.75" customHeight="1" x14ac:dyDescent="0.2"/>
    <row r="118" spans="1:12" s="25" customFormat="1" ht="15.75" customHeight="1" x14ac:dyDescent="0.2">
      <c r="A118" s="25" t="s">
        <v>78</v>
      </c>
      <c r="B118" s="35">
        <v>2022</v>
      </c>
      <c r="C118" s="35">
        <v>2023</v>
      </c>
      <c r="D118" s="35">
        <v>2024</v>
      </c>
      <c r="E118" s="35">
        <v>2025</v>
      </c>
      <c r="F118" s="35">
        <v>2026</v>
      </c>
      <c r="G118" s="29"/>
    </row>
    <row r="119" spans="1:12" s="25" customFormat="1" ht="15.75" customHeight="1" x14ac:dyDescent="0.2">
      <c r="A119" s="29"/>
    </row>
    <row r="120" spans="1:12" s="25" customFormat="1" ht="15.75" customHeight="1" x14ac:dyDescent="0.2">
      <c r="A120" s="31">
        <v>3</v>
      </c>
      <c r="B120" s="35">
        <v>14.65</v>
      </c>
      <c r="C120" s="35">
        <v>13.7</v>
      </c>
      <c r="D120" s="35">
        <v>12.66</v>
      </c>
      <c r="E120" s="35">
        <v>11.64</v>
      </c>
      <c r="F120" s="35">
        <v>10.86</v>
      </c>
      <c r="G120" s="39"/>
    </row>
    <row r="121" spans="1:12" s="25" customFormat="1" ht="15.75" customHeight="1" x14ac:dyDescent="0.2">
      <c r="A121" s="36" t="s">
        <v>79</v>
      </c>
      <c r="B121" s="37">
        <v>12.91</v>
      </c>
      <c r="C121" s="37">
        <v>11.35</v>
      </c>
      <c r="D121" s="37">
        <v>11.67</v>
      </c>
      <c r="E121" s="37">
        <v>10.33</v>
      </c>
      <c r="F121" s="37">
        <v>9.23</v>
      </c>
      <c r="G121" s="41"/>
    </row>
    <row r="122" spans="1:12" s="25" customFormat="1" ht="15.75" customHeight="1" x14ac:dyDescent="0.2">
      <c r="A122" s="36" t="s">
        <v>80</v>
      </c>
      <c r="B122" s="37">
        <v>12.12</v>
      </c>
      <c r="C122" s="37">
        <v>10.029999999999999</v>
      </c>
      <c r="D122" s="37">
        <v>11.29</v>
      </c>
      <c r="E122" s="37">
        <v>9.6199999999999992</v>
      </c>
      <c r="F122" s="37">
        <v>8.7899999999999991</v>
      </c>
      <c r="G122" s="41"/>
    </row>
    <row r="123" spans="1:12" s="25" customFormat="1" ht="15.75" customHeight="1" x14ac:dyDescent="0.2">
      <c r="A123" s="36" t="s">
        <v>81</v>
      </c>
      <c r="B123" s="37">
        <v>11.17</v>
      </c>
      <c r="C123" s="37">
        <v>10.72</v>
      </c>
      <c r="D123" s="37">
        <v>10.65</v>
      </c>
      <c r="E123" s="37">
        <v>8.7799999999999994</v>
      </c>
      <c r="F123" s="37">
        <v>8.7799999999999994</v>
      </c>
      <c r="G123" s="41"/>
    </row>
    <row r="124" spans="1:12" s="25" customFormat="1" ht="15.75" customHeight="1" x14ac:dyDescent="0.2">
      <c r="A124" s="36" t="s">
        <v>82</v>
      </c>
      <c r="B124" s="37">
        <v>10.65</v>
      </c>
      <c r="C124" s="37">
        <v>10.48</v>
      </c>
      <c r="D124" s="37">
        <v>10.31</v>
      </c>
      <c r="E124" s="37">
        <v>9.0399999999999991</v>
      </c>
      <c r="F124" s="37">
        <v>8.02</v>
      </c>
      <c r="G124" s="41"/>
    </row>
    <row r="125" spans="1:12" s="25" customFormat="1" ht="15.75" customHeight="1" x14ac:dyDescent="0.2">
      <c r="A125" s="36"/>
      <c r="B125" s="37">
        <v>11.26</v>
      </c>
      <c r="C125" s="37">
        <v>9.34</v>
      </c>
      <c r="D125" s="37">
        <v>10.27</v>
      </c>
      <c r="E125" s="37">
        <v>8.5500000000000007</v>
      </c>
      <c r="F125" s="37">
        <v>8.0299999999999994</v>
      </c>
    </row>
    <row r="126" spans="1:12" s="25" customFormat="1" ht="15.75" customHeight="1" x14ac:dyDescent="0.2">
      <c r="A126" s="29"/>
      <c r="B126" s="37">
        <v>10.99</v>
      </c>
      <c r="C126" s="37">
        <v>9.57</v>
      </c>
      <c r="D126" s="37">
        <v>9.92</v>
      </c>
      <c r="E126" s="37">
        <v>8.84</v>
      </c>
      <c r="F126" s="37">
        <v>8.1</v>
      </c>
    </row>
    <row r="127" spans="1:12" s="25" customFormat="1" ht="15.75" customHeight="1" x14ac:dyDescent="0.2">
      <c r="B127" s="37">
        <v>10.63</v>
      </c>
      <c r="C127" s="37">
        <v>9.2799999999999994</v>
      </c>
      <c r="D127" s="37">
        <v>9.66</v>
      </c>
      <c r="E127" s="37">
        <v>8.6</v>
      </c>
      <c r="F127" s="37">
        <v>9.36</v>
      </c>
    </row>
    <row r="128" spans="1:12" s="25" customFormat="1" ht="15.75" customHeight="1" x14ac:dyDescent="0.2">
      <c r="B128" s="37">
        <v>10.75</v>
      </c>
      <c r="C128" s="37">
        <v>9.25</v>
      </c>
      <c r="D128" s="37">
        <v>9.1300000000000008</v>
      </c>
      <c r="E128" s="37">
        <v>8.17</v>
      </c>
      <c r="F128" s="37"/>
    </row>
    <row r="129" spans="1:12" s="25" customFormat="1" ht="15.75" customHeight="1" x14ac:dyDescent="0.2">
      <c r="A129" s="45"/>
      <c r="B129" s="37">
        <v>9.7200000000000006</v>
      </c>
      <c r="C129" s="37">
        <v>9.23</v>
      </c>
      <c r="D129" s="37">
        <v>9.1300000000000008</v>
      </c>
      <c r="E129" s="37">
        <v>8.1999999999999993</v>
      </c>
      <c r="F129" s="37" t="s">
        <v>103</v>
      </c>
    </row>
    <row r="130" spans="1:12" s="25" customFormat="1" ht="15.75" customHeight="1" x14ac:dyDescent="0.2">
      <c r="B130" s="37">
        <v>9.5</v>
      </c>
      <c r="C130" s="37">
        <v>9.01</v>
      </c>
      <c r="D130" s="37">
        <v>8.17</v>
      </c>
      <c r="E130" s="37">
        <v>7.02</v>
      </c>
      <c r="F130" s="37" t="s">
        <v>103</v>
      </c>
    </row>
    <row r="131" spans="1:12" s="25" customFormat="1" ht="15.75" customHeight="1" x14ac:dyDescent="0.2">
      <c r="B131" s="37">
        <v>10.27</v>
      </c>
      <c r="C131" s="37">
        <v>10.01</v>
      </c>
      <c r="D131" s="37">
        <v>9.1300000000000008</v>
      </c>
      <c r="E131" s="37">
        <v>7.98</v>
      </c>
      <c r="F131" s="37"/>
    </row>
    <row r="132" spans="1:12" s="25" customFormat="1" ht="15.75" customHeight="1" x14ac:dyDescent="0.2">
      <c r="A132" s="25" t="s">
        <v>88</v>
      </c>
    </row>
    <row r="133" spans="1:12" s="25" customFormat="1" ht="15.75" customHeight="1" thickBot="1" x14ac:dyDescent="0.25">
      <c r="A133" s="33" t="s">
        <v>62</v>
      </c>
      <c r="B133" s="33"/>
      <c r="C133" s="33"/>
      <c r="D133" s="33"/>
      <c r="E133" s="33"/>
      <c r="F133" s="33"/>
      <c r="G133" s="33"/>
      <c r="H133" s="33"/>
      <c r="I133" s="33"/>
      <c r="J133" s="33"/>
      <c r="K133" s="33"/>
      <c r="L133" s="33"/>
    </row>
    <row r="134" spans="1:12" s="25" customFormat="1" ht="15.75" customHeight="1" x14ac:dyDescent="0.2">
      <c r="A134" s="39"/>
    </row>
    <row r="314" spans="13:13" ht="15.75" customHeight="1" x14ac:dyDescent="0.2">
      <c r="M314" s="42"/>
    </row>
    <row r="315" spans="13:13" ht="15.75" customHeight="1" x14ac:dyDescent="0.2">
      <c r="M315" s="42"/>
    </row>
    <row r="316" spans="13:13" ht="15.75" customHeight="1" x14ac:dyDescent="0.2">
      <c r="M316" s="42"/>
    </row>
    <row r="317" spans="13:13" ht="15.75" customHeight="1" x14ac:dyDescent="0.2">
      <c r="M317" s="42"/>
    </row>
    <row r="318" spans="13:13" ht="15.75" customHeight="1" x14ac:dyDescent="0.2">
      <c r="M318" s="42"/>
    </row>
    <row r="319" spans="13:13" ht="15.75" customHeight="1" x14ac:dyDescent="0.2">
      <c r="M319" s="42"/>
    </row>
    <row r="326" spans="12:13" ht="15.75" customHeight="1" x14ac:dyDescent="0.2">
      <c r="L326" s="43"/>
      <c r="M326" s="37"/>
    </row>
    <row r="327" spans="12:13" ht="15.75" customHeight="1" x14ac:dyDescent="0.2">
      <c r="L327" s="43"/>
      <c r="M327" s="37"/>
    </row>
    <row r="328" spans="12:13" ht="15.75" customHeight="1" x14ac:dyDescent="0.2">
      <c r="L328" s="43"/>
      <c r="M328" s="37"/>
    </row>
    <row r="329" spans="12:13" ht="15.75" customHeight="1" x14ac:dyDescent="0.2">
      <c r="L329" s="43"/>
      <c r="M329" s="37"/>
    </row>
    <row r="330" spans="12:13" ht="15.75" customHeight="1" x14ac:dyDescent="0.2">
      <c r="L330" s="43"/>
      <c r="M330" s="37"/>
    </row>
    <row r="331" spans="12:13" ht="15.75" customHeight="1" x14ac:dyDescent="0.2">
      <c r="L331" s="43"/>
      <c r="M331" s="37"/>
    </row>
    <row r="332" spans="12:13" ht="15.75" customHeight="1" x14ac:dyDescent="0.2">
      <c r="L332" s="43"/>
      <c r="M332" s="37"/>
    </row>
  </sheetData>
  <mergeCells count="24">
    <mergeCell ref="A115:E115"/>
    <mergeCell ref="A52:E52"/>
    <mergeCell ref="H52:L52"/>
    <mergeCell ref="H56:L56"/>
    <mergeCell ref="A71:E71"/>
    <mergeCell ref="A72:E72"/>
    <mergeCell ref="A73:E73"/>
    <mergeCell ref="A92:E92"/>
    <mergeCell ref="A93:E93"/>
    <mergeCell ref="A94:E94"/>
    <mergeCell ref="A113:E113"/>
    <mergeCell ref="A114:E114"/>
    <mergeCell ref="A29:E29"/>
    <mergeCell ref="A30:E30"/>
    <mergeCell ref="A49:E49"/>
    <mergeCell ref="A50:E50"/>
    <mergeCell ref="A51:E51"/>
    <mergeCell ref="A28:F28"/>
    <mergeCell ref="E4:I4"/>
    <mergeCell ref="A5:E5"/>
    <mergeCell ref="A6:E6"/>
    <mergeCell ref="A7:E7"/>
    <mergeCell ref="A8:E8"/>
    <mergeCell ref="A27:E27"/>
  </mergeCells>
  <printOptions horizontalCentered="1" verticalCentered="1"/>
  <pageMargins left="0.39370078740157483" right="0.39370078740157483" top="0.39370078740157483" bottom="0.43307086614173229" header="0" footer="0"/>
  <pageSetup scale="83" fitToHeight="2" orientation="portrait" copies="2" r:id="rId1"/>
  <headerFooter alignWithMargins="0">
    <oddFooter>&amp;C_x000D_&amp;1#&amp;"Aptos"&amp;10&amp;K000000 Classification: Bekaert Restricted Information</oddFooter>
  </headerFooter>
  <drawing r:id="rId2"/>
  <legacyDrawing r:id="rId3"/>
  <controls>
    <mc:AlternateContent xmlns:mc="http://schemas.openxmlformats.org/markup-compatibility/2006">
      <mc:Choice Requires="x14">
        <control shapeId="1605633" r:id="rId4" name="CommandButton4">
          <controlPr defaultSize="0" autoLine="0" r:id="rId5">
            <anchor moveWithCells="1">
              <from>
                <xdr:col>1</xdr:col>
                <xdr:colOff>419100</xdr:colOff>
                <xdr:row>38</xdr:row>
                <xdr:rowOff>76200</xdr:rowOff>
              </from>
              <to>
                <xdr:col>1</xdr:col>
                <xdr:colOff>495300</xdr:colOff>
                <xdr:row>38</xdr:row>
                <xdr:rowOff>161925</xdr:rowOff>
              </to>
            </anchor>
          </controlPr>
        </control>
      </mc:Choice>
      <mc:Fallback>
        <control shapeId="1605633" r:id="rId4" name="CommandButton4"/>
      </mc:Fallback>
    </mc:AlternateContent>
  </controls>
</worksheet>
</file>

<file path=docMetadata/LabelInfo.xml><?xml version="1.0" encoding="utf-8"?>
<clbl:labelList xmlns:clbl="http://schemas.microsoft.com/office/2020/mipLabelMetadata">
  <clbl:label id="{91136ced-0f10-41c6-ad9e-c2614b9ab5ad}" enabled="1" method="Standard" siteId="{d9e53fd4-13d7-4ca7-a602-14173f4df0c8}"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2</vt:i4>
      </vt:variant>
    </vt:vector>
  </HeadingPairs>
  <TitlesOfParts>
    <vt:vector size="7" baseType="lpstr">
      <vt:lpstr>Mes</vt:lpstr>
      <vt:lpstr>Trim</vt:lpstr>
      <vt:lpstr>Informacion</vt:lpstr>
      <vt:lpstr>ENCUESTA</vt:lpstr>
      <vt:lpstr>ANEXO</vt:lpstr>
      <vt:lpstr>ANEXO!Área_de_impresión</vt:lpstr>
      <vt:lpstr>ENCUESTA!Área_de_impresión</vt:lpstr>
    </vt:vector>
  </TitlesOfParts>
  <Company>BANCO DE LA REPÚBLICA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mroperfa</dc:creator>
  <cp:lastModifiedBy>Stefanny Buitrago</cp:lastModifiedBy>
  <cp:lastPrinted>2010-07-06T16:42:59Z</cp:lastPrinted>
  <dcterms:created xsi:type="dcterms:W3CDTF">2001-01-12T16:23:58Z</dcterms:created>
  <dcterms:modified xsi:type="dcterms:W3CDTF">2026-10-20T12:19:37Z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7faaadc-1a6d-4614-bb5b-a314f37e002a_Enabled">
    <vt:lpwstr>true</vt:lpwstr>
  </property>
  <property fmtid="{D5CDD505-2E9C-101B-9397-08002B2CF9AE}" pid="3" name="MSIP_Label_d7faaadc-1a6d-4614-bb5b-a314f37e002a_SetDate">
    <vt:lpwstr>2022-10-04T13:59:06Z</vt:lpwstr>
  </property>
  <property fmtid="{D5CDD505-2E9C-101B-9397-08002B2CF9AE}" pid="4" name="MSIP_Label_d7faaadc-1a6d-4614-bb5b-a314f37e002a_Method">
    <vt:lpwstr>Standard</vt:lpwstr>
  </property>
  <property fmtid="{D5CDD505-2E9C-101B-9397-08002B2CF9AE}" pid="5" name="MSIP_Label_d7faaadc-1a6d-4614-bb5b-a314f37e002a_Name">
    <vt:lpwstr>Documento en construcción</vt:lpwstr>
  </property>
  <property fmtid="{D5CDD505-2E9C-101B-9397-08002B2CF9AE}" pid="6" name="MSIP_Label_d7faaadc-1a6d-4614-bb5b-a314f37e002a_SiteId">
    <vt:lpwstr>2ff255e1-ae00-44bc-9787-fa8f8061bf68</vt:lpwstr>
  </property>
  <property fmtid="{D5CDD505-2E9C-101B-9397-08002B2CF9AE}" pid="7" name="MSIP_Label_d7faaadc-1a6d-4614-bb5b-a314f37e002a_ActionId">
    <vt:lpwstr>b7aacba9-d826-400e-993d-84b4488fa9c7</vt:lpwstr>
  </property>
  <property fmtid="{D5CDD505-2E9C-101B-9397-08002B2CF9AE}" pid="8" name="MSIP_Label_d7faaadc-1a6d-4614-bb5b-a314f37e002a_ContentBits">
    <vt:lpwstr>0</vt:lpwstr>
  </property>
</Properties>
</file>