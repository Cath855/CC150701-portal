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13_ncr:1_{31200AA5-1689-43D9-ACBB-BFC23C4DA58E}"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ENCUESTA!$A$1:$I$154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BH3" i="1"/>
  <c r="BG3" i="1"/>
  <c r="BF3" i="1"/>
  <c r="BE3" i="1"/>
  <c r="BD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family val="2"/>
          </rPr>
          <t>mroperfa:
Dario Hernández:                 T:\Estadistica\COMUNAL\Precios IPP IPC\IPCTOT.xls   (IPC2008)</t>
        </r>
      </text>
    </comment>
    <comment ref="C1" authorId="0" shapeId="0" xr:uid="{00000000-0006-0000-0100-000002000000}">
      <text>
        <r>
          <rPr>
            <sz val="10"/>
            <rFont val="Arial"/>
            <family val="2"/>
          </rPr>
          <t>mroperfa:
Adriana Torres, VER:
T:\Estadistica\COMUNAL\Tasas de Interés\Pasivas\DTF\DTF FIN DE MES 1984 HASTA LA FECHA.xls</t>
        </r>
      </text>
    </comment>
    <comment ref="D1" authorId="0" shapeId="0" xr:uid="{00000000-0006-0000-0100-000003000000}">
      <text>
        <r>
          <rPr>
            <sz val="10"/>
            <rFont val="Arial"/>
            <family val="2"/>
          </rPr>
          <t>mroperfa:
Fernando Alvares, VER:
T:\Estadistica\COMUNAL\TASA DE CAMBIO NOMINAL\TASA DIARIA SIN FESTIVOS DEFINITIVO2019.xls</t>
        </r>
      </text>
    </comment>
    <comment ref="E1" authorId="0" shapeId="0" xr:uid="{00000000-0006-0000-0100-000004000000}">
      <text>
        <r>
          <rPr>
            <sz val="10"/>
            <rFont val="Arial"/>
            <family val="2"/>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family val="2"/>
          </rPr>
          <t>Modifique el año, en cada encuesta de trim I (Abril) de cada año</t>
        </r>
      </text>
    </comment>
  </commentList>
</comments>
</file>

<file path=xl/sharedStrings.xml><?xml version="1.0" encoding="utf-8"?>
<sst xmlns="http://schemas.openxmlformats.org/spreadsheetml/2006/main" count="415" uniqueCount="267">
  <si>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</si>
  <si>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</si>
  <si>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</si>
  <si>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</si>
  <si>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</si>
  <si>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</si>
  <si>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</si>
  <si>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</si>
  <si>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</si>
  <si>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</si>
  <si>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</si>
  <si>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</si>
  <si>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</si>
  <si>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</si>
  <si>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</si>
  <si>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</si>
  <si>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</si>
  <si>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</si>
  <si>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</si>
  <si>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</si>
  <si>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</si>
  <si>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</si>
  <si>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</si>
  <si>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</si>
  <si>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</si>
  <si>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</si>
  <si>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</si>
  <si>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</si>
  <si>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</si>
  <si>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</si>
  <si>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</si>
  <si>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</si>
  <si>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</si>
  <si>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</si>
  <si>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</si>
  <si>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</si>
  <si>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</si>
  <si>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</si>
  <si>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</si>
  <si>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</si>
  <si>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</si>
  <si>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</si>
  <si>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</si>
  <si>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</si>
  <si>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</si>
  <si>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</si>
  <si>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</si>
  <si>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</si>
  <si>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</si>
  <si>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</si>
  <si>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</si>
  <si>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</si>
  <si>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</si>
  <si>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</si>
  <si>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</si>
  <si>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</si>
  <si>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</si>
  <si>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</si>
  <si>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</si>
  <si>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</si>
  <si>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</si>
  <si>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</si>
  <si>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</si>
  <si>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(Seleccione su respuesta)</t>
  </si>
  <si>
    <t xml:space="preserve">                                                                     </t>
  </si>
  <si>
    <t>Crédito bancario en Colombia</t>
  </si>
  <si>
    <t>ENCUESTA DE EXPECTATIVAS</t>
  </si>
  <si>
    <t xml:space="preserve">Crédito bancario en el exterior </t>
  </si>
  <si>
    <t>SUS RESPUESTAS SERÁN MANTENIDAS BAJO ESTRICTA RESERVA POR PARTE DE LA SUBGERENCIA DE POLÍTICA MONETARIA E INFORMACIÓN ECONÓMICA</t>
  </si>
  <si>
    <t>Leasing financiero, factoring</t>
  </si>
  <si>
    <t>Crédito con sus proveedores</t>
  </si>
  <si>
    <t>Por favor, conteste antes del 16 de julio de 2026</t>
  </si>
  <si>
    <t>Emisión de bonos, papeles comerciales</t>
  </si>
  <si>
    <t>Acciones</t>
  </si>
  <si>
    <t>SGPMIE - Estadística</t>
  </si>
  <si>
    <t>Teléfono:  3430832</t>
  </si>
  <si>
    <t>Dirección</t>
  </si>
  <si>
    <t>KR 7 14 78 PS 12</t>
  </si>
  <si>
    <t>Reinversión de utilidades</t>
  </si>
  <si>
    <t>Correo electrónico:</t>
  </si>
  <si>
    <t>expectativas-trim@banrep.gov.co</t>
  </si>
  <si>
    <t>Fax:    2818531 - 2865936</t>
  </si>
  <si>
    <t>Recursos propios diferentes a utilidades</t>
  </si>
  <si>
    <t>Otro tipo de financiamiento</t>
  </si>
  <si>
    <t>Utilice la  información  suministrada  y cualquiera otra que considere  relevante para responder las  preguntas.</t>
  </si>
  <si>
    <t>Nota: Si alguna de las celdas cambia de color al momento de diligenciar el formulario, debe revisar sus datos.</t>
  </si>
  <si>
    <t>I. Precios y salarios</t>
  </si>
  <si>
    <t>Inversión de largo plazo (ej.: compra de maquinaria y equipo)</t>
  </si>
  <si>
    <t xml:space="preserve">Nota: En el cuadro 1 y gráfico 1 se presenta la evolución reciente de los crecimientos anuales de los precios al consumidor, es decir, la inflacion anual. </t>
  </si>
  <si>
    <t>Refinanciación de créditos</t>
  </si>
  <si>
    <t xml:space="preserve">A mayo de 2026  la inflación anual  se situó en: </t>
  </si>
  <si>
    <t xml:space="preserve">Pago de deudas </t>
  </si>
  <si>
    <t>X</t>
  </si>
  <si>
    <t>Adquisición de inventarios, pago de salarios y/o pago a proveedores</t>
  </si>
  <si>
    <t>P1: ¿Cuál cree usted que será la tasa de inflación anual a:</t>
  </si>
  <si>
    <t>Impuestos</t>
  </si>
  <si>
    <t>Otros</t>
  </si>
  <si>
    <t>Inflación Anual</t>
  </si>
  <si>
    <t>Esperada: %</t>
  </si>
  <si>
    <t xml:space="preserve"> - Sep/2026:</t>
  </si>
  <si>
    <t>Suficiente capital propio</t>
  </si>
  <si>
    <t xml:space="preserve"> - Dic/2026:</t>
  </si>
  <si>
    <t>No cuenta con el  historial crediticio necesario</t>
  </si>
  <si>
    <t xml:space="preserve"> - Mar/2027:</t>
  </si>
  <si>
    <t>Tasas de interés altas</t>
  </si>
  <si>
    <t xml:space="preserve"> - Jun/2027:</t>
  </si>
  <si>
    <t>Incertidumbre sobre las condiciones de la economia y/o sector</t>
  </si>
  <si>
    <t xml:space="preserve"> - Jun/2028:</t>
  </si>
  <si>
    <t>Intención por reducir el nivel de endeudamiento de la empresa</t>
  </si>
  <si>
    <t xml:space="preserve"> - Jun/2031:</t>
  </si>
  <si>
    <t>Incremento en los requisitos y garantías exigidas para obtener un crédito</t>
  </si>
  <si>
    <t>Piensa que el crédito no va a ser aprobado</t>
  </si>
  <si>
    <t xml:space="preserve">P2: ¿Cuánto prevé usted que será el incremento salarial promedio anual en términos porcentuales de su empresa para el: </t>
  </si>
  <si>
    <t>Tiene otro tipo de financiamiento (ej.: crédito proveedores/particulares)</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</si>
  <si>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</si>
  <si>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</si>
  <si>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</si>
  <si>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</si>
  <si>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</si>
  <si>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</si>
  <si>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</si>
  <si>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</si>
  <si>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</si>
  <si>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</si>
  <si>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</si>
  <si>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</si>
  <si>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</si>
  <si>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</si>
  <si>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</si>
  <si>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</si>
  <si>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</si>
  <si>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</si>
  <si>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</si>
  <si>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</si>
  <si>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</si>
  <si>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</si>
  <si>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</si>
  <si>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</si>
  <si>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</si>
  <si>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</si>
  <si>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</si>
  <si>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</si>
  <si>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</si>
  <si>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</si>
  <si>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</si>
  <si>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</si>
  <si>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</si>
  <si>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</si>
  <si>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</si>
  <si>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</si>
  <si>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</si>
  <si>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</si>
  <si>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</si>
  <si>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</si>
  <si>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</si>
  <si>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</si>
  <si>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</si>
  <si>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</si>
  <si>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</si>
  <si>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V.  Estructura de financiamiento</t>
  </si>
  <si>
    <t>P9: Indique la principal fuente de financiación de su empresa en el período Ene/2026 - Jun/2026</t>
  </si>
  <si>
    <t xml:space="preserve"> </t>
  </si>
  <si>
    <t>Opción</t>
  </si>
  <si>
    <t>P10: Su empresa solicitó crédito al sistema financiero en el período Ene/2026 - Jun/2026</t>
  </si>
  <si>
    <t xml:space="preserve">      (Marque con una X su respuesta)</t>
  </si>
  <si>
    <t>SÍ</t>
  </si>
  <si>
    <t>NO</t>
  </si>
  <si>
    <t>Nota: Si su respuesta fue SÍ responda las preguntas P11 y P12; si su respuesta fue NO responda la pregunta P13.</t>
  </si>
  <si>
    <t>P11: El crédito solicitado al sistema financiero en el período Ene/2026 - Jun/2026 fue:</t>
  </si>
  <si>
    <t>Aprobado por el total de recursos solicitado</t>
  </si>
  <si>
    <t>Aprobado por menos recursos</t>
  </si>
  <si>
    <t>No aprobado</t>
  </si>
  <si>
    <t>P12: El crédito solicitado al sector financiero en el período Ene/2026 - Jun/2026 se destinó o destinará principalmente a:</t>
  </si>
  <si>
    <t>P13: Indique la principal razón por la cual no solicitó crédito al sistema financiero en el período Ene/2026 - Jun/2026</t>
  </si>
  <si>
    <t xml:space="preserve">VI. Seguimiento de la Encuesta </t>
  </si>
  <si>
    <t>P14: Pregunta acerca de la frecuencia de sus respuestas. Marque con una X las opciones que usted considera adecuadas para cada una de las preguntas.</t>
  </si>
  <si>
    <t xml:space="preserve"> ¿Está usted contestando por primera vez esta encuesta?</t>
  </si>
  <si>
    <t xml:space="preserve"> ¿Usted contestó esta encuesta el trimestre pasado?</t>
  </si>
  <si>
    <t xml:space="preserve"> ¿Revisó sus respuestas a la encuesta anterior para contestar esta encuesta?</t>
  </si>
  <si>
    <t>¿Para el próximo trimestre, por qué medio le gustaría contestar esta encuesta?</t>
  </si>
  <si>
    <t>Fax</t>
  </si>
  <si>
    <t>Correo:</t>
  </si>
  <si>
    <t xml:space="preserve">Correo Electrónico: </t>
  </si>
  <si>
    <t>Página Web:</t>
  </si>
  <si>
    <t xml:space="preserve">INFORMACIÓN ACERCA DE QUIÉN RESPONDE  LA ENCUESTA  </t>
  </si>
  <si>
    <t>Nombre:</t>
  </si>
  <si>
    <t>ACERIAS PAZ DEL RIO</t>
  </si>
  <si>
    <t>Cargo</t>
  </si>
  <si>
    <t>DIRECTOR DIVISION FINANCIERA</t>
  </si>
  <si>
    <t>Entidad:</t>
  </si>
  <si>
    <t>e-mail:</t>
  </si>
  <si>
    <t>Dirección:</t>
  </si>
  <si>
    <t>Teléfono:</t>
  </si>
  <si>
    <t>6517300  6087730200</t>
  </si>
  <si>
    <t>Ciudad:</t>
  </si>
  <si>
    <t>BOGOTA</t>
  </si>
  <si>
    <t>Fax:</t>
  </si>
  <si>
    <t>Cód. Entidad:</t>
  </si>
  <si>
    <t>EE361-1</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</si>
  <si>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</si>
  <si>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</si>
  <si>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</si>
  <si>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</si>
  <si>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</si>
  <si>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</si>
  <si>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</si>
  <si>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</si>
  <si>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</si>
  <si>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</si>
  <si>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</si>
  <si>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</si>
  <si>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</si>
  <si>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</si>
  <si>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</si>
  <si>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</si>
  <si>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</si>
  <si>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</si>
  <si>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</si>
  <si>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</si>
  <si>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</si>
  <si>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</si>
  <si>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</si>
  <si>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</si>
  <si>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</si>
  <si>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</si>
  <si>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</si>
  <si>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</si>
  <si>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</si>
  <si>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</si>
  <si>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</si>
  <si>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</si>
  <si>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</si>
  <si>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</si>
  <si>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</si>
  <si>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</si>
  <si>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</si>
  <si>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</si>
  <si>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</si>
  <si>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</si>
  <si>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</si>
  <si>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</si>
  <si>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</si>
  <si>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</si>
  <si>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</si>
  <si>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</si>
  <si>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</si>
  <si>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</si>
  <si>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</si>
  <si>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</si>
  <si>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</si>
  <si>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</si>
  <si>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</si>
  <si>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</si>
  <si>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</si>
  <si>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</si>
  <si>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</si>
  <si>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</si>
  <si>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</si>
  <si>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</si>
  <si>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</si>
  <si>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</si>
  <si>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</si>
  <si>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</si>
  <si>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</si>
  <si>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andrea.castro@pazdelrio.com.co</t>
  </si>
  <si>
    <t xml:space="preserve">Fecha: </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</si>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</sst>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mmm/yyyy"/>
    <numFmt numFmtId="165" formatCode="0.0"/>
    <numFmt numFmtId="166" formatCode="#,##0_ ;\-#,##0\ "/>
    <numFmt numFmtId="167" formatCode="_ * #,##0_ ;_ * \-#,##0_ ;_ * &quot;-&quot;??_ ;_ @_ "/>
    <numFmt numFmtId="168" formatCode="_-* #,##0_-;\-* #,##0_-;_-* &quot;-&quot;??_-;_-@_-"/>
    <numFmt numFmtId="169" formatCode="#,##0.0"/>
  </numFmts>
  <fonts count="32"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b/>
      <sz val="12"/>
      <color rgb="FFFF0000"/>
      <name val="Times New Roman"/>
      <family val="1"/>
    </font>
    <font>
      <b/>
      <sz val="10"/>
      <color rgb="FFFF0000"/>
      <name val="Arial"/>
      <family val="2"/>
    </font>
    <font>
      <sz val="10"/>
      <color rgb="FFFF0000"/>
      <name val="Arial"/>
      <family val="2"/>
    </font>
    <font>
      <b/>
      <i/>
      <sz val="14"/>
      <name val="Times New Roman"/>
      <family val="1"/>
    </font>
    <font>
      <b/>
      <sz val="10"/>
      <name val="Times New Roman"/>
      <family val="1"/>
    </font>
    <font>
      <i/>
      <sz val="10"/>
      <name val="Times New Roman"/>
      <family val="1"/>
    </font>
    <font>
      <sz val="12"/>
      <name val="Times New Roman"/>
      <family val="1"/>
    </font>
    <font>
      <b/>
      <u/>
      <sz val="18"/>
      <name val="Times New Roman"/>
      <family val="1"/>
    </font>
    <font>
      <u/>
      <sz val="18"/>
      <name val="Times New Roman"/>
      <family val="1"/>
    </font>
    <font>
      <sz val="18"/>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0"/>
      <color theme="0"/>
      <name val="Times New Roman"/>
      <family val="1"/>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20" fillId="0" borderId="0">
      <alignment vertical="top"/>
      <protection locked="0"/>
    </xf>
    <xf numFmtId="0" fontId="3" fillId="0" borderId="0"/>
    <xf numFmtId="9" fontId="3" fillId="0" borderId="0"/>
    <xf numFmtId="43" fontId="3" fillId="0" borderId="0"/>
  </cellStyleXfs>
  <cellXfs count="158">
    <xf numFmtId="0" fontId="0" fillId="0" borderId="0" xfId="0"/>
    <xf numFmtId="0" fontId="2" fillId="0" borderId="0" xfId="2" applyFont="1"/>
    <xf numFmtId="0" fontId="3" fillId="0" borderId="0" xfId="2"/>
    <xf numFmtId="164" fontId="5" fillId="2" borderId="0" xfId="2" applyNumberFormat="1" applyFont="1" applyFill="1"/>
    <xf numFmtId="165" fontId="5" fillId="2" borderId="0" xfId="2" applyNumberFormat="1" applyFont="1" applyFill="1" applyAlignment="1">
      <alignment horizontal="center"/>
    </xf>
    <xf numFmtId="0" fontId="6" fillId="2" borderId="0" xfId="2" applyFont="1" applyFill="1"/>
    <xf numFmtId="0" fontId="5" fillId="2" borderId="0" xfId="2" applyFont="1" applyFill="1"/>
    <xf numFmtId="0" fontId="7" fillId="2" borderId="0" xfId="2" applyFont="1" applyFill="1"/>
    <xf numFmtId="0" fontId="8" fillId="2" borderId="0" xfId="2" applyFont="1" applyFill="1"/>
    <xf numFmtId="0" fontId="9" fillId="2" borderId="0" xfId="2" applyFont="1" applyFill="1"/>
    <xf numFmtId="0" fontId="10" fillId="2" borderId="0" xfId="2" applyFont="1" applyFill="1"/>
    <xf numFmtId="0" fontId="11" fillId="2" borderId="0" xfId="2" applyFont="1" applyFill="1"/>
    <xf numFmtId="0" fontId="6" fillId="3" borderId="0" xfId="2" applyFont="1" applyFill="1" applyAlignment="1">
      <alignment vertical="top"/>
    </xf>
    <xf numFmtId="0" fontId="6" fillId="3" borderId="0" xfId="2" applyFont="1" applyFill="1" applyAlignment="1">
      <alignment horizontal="right" vertical="top"/>
    </xf>
    <xf numFmtId="0" fontId="6" fillId="3" borderId="0" xfId="2" applyFont="1" applyFill="1"/>
    <xf numFmtId="0" fontId="6" fillId="3" borderId="0" xfId="2" applyFont="1" applyFill="1" applyAlignment="1" applyProtection="1">
      <alignment horizontal="left"/>
      <protection locked="0"/>
    </xf>
    <xf numFmtId="0" fontId="5" fillId="3" borderId="0" xfId="2" applyFont="1" applyFill="1"/>
    <xf numFmtId="0" fontId="7" fillId="3" borderId="0" xfId="2" applyFont="1" applyFill="1"/>
    <xf numFmtId="0" fontId="12" fillId="3" borderId="0" xfId="2" applyFont="1" applyFill="1" applyAlignment="1">
      <alignment horizontal="centerContinuous" vertical="top"/>
    </xf>
    <xf numFmtId="0" fontId="12" fillId="3" borderId="0" xfId="2" applyFont="1" applyFill="1" applyAlignment="1">
      <alignment horizontal="centerContinuous"/>
    </xf>
    <xf numFmtId="0" fontId="3" fillId="3" borderId="0" xfId="2" applyFill="1"/>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
    </xf>
    <xf numFmtId="0" fontId="16" fillId="3" borderId="0" xfId="2" applyFont="1" applyFill="1"/>
    <xf numFmtId="0" fontId="17" fillId="3" borderId="0" xfId="2" applyFont="1" applyFill="1" applyAlignment="1">
      <alignment horizontal="center"/>
    </xf>
    <xf numFmtId="0" fontId="18" fillId="3" borderId="0" xfId="2" applyFont="1" applyFill="1" applyAlignment="1">
      <alignment horizontal="center"/>
    </xf>
    <xf numFmtId="0" fontId="15" fillId="3" borderId="0" xfId="2" applyFont="1" applyFill="1"/>
    <xf numFmtId="0" fontId="19" fillId="4" borderId="0" xfId="2" applyFont="1" applyFill="1"/>
    <xf numFmtId="0" fontId="15" fillId="4" borderId="0" xfId="2" applyFont="1" applyFill="1"/>
    <xf numFmtId="0" fontId="20" fillId="4" borderId="0" xfId="3" applyFill="1" applyAlignment="1" applyProtection="1"/>
    <xf numFmtId="0" fontId="7" fillId="3" borderId="0" xfId="2" applyFont="1" applyFill="1" applyAlignment="1">
      <alignment horizontal="right"/>
    </xf>
    <xf numFmtId="0" fontId="21" fillId="3" borderId="0" xfId="2" applyFont="1" applyFill="1"/>
    <xf numFmtId="0" fontId="22" fillId="3" borderId="0" xfId="2" applyFont="1" applyFill="1"/>
    <xf numFmtId="0" fontId="6" fillId="3" borderId="0" xfId="2" applyFont="1" applyFill="1" applyAlignment="1">
      <alignment horizontal="right" vertical="top" wrapText="1"/>
    </xf>
    <xf numFmtId="0" fontId="19" fillId="3" borderId="0" xfId="2" applyFont="1" applyFill="1"/>
    <xf numFmtId="0" fontId="23" fillId="3" borderId="0" xfId="2" applyFont="1" applyFill="1"/>
    <xf numFmtId="10" fontId="15" fillId="4" borderId="0" xfId="2" applyNumberFormat="1" applyFont="1" applyFill="1"/>
    <xf numFmtId="10" fontId="15" fillId="3" borderId="0" xfId="5" applyNumberFormat="1" applyFont="1" applyFill="1"/>
    <xf numFmtId="0" fontId="24" fillId="0" borderId="0" xfId="3" applyFont="1" applyAlignment="1" applyProtection="1"/>
    <xf numFmtId="0" fontId="19" fillId="4" borderId="2" xfId="2" applyFont="1" applyFill="1" applyBorder="1" applyAlignment="1">
      <alignment horizontal="center"/>
    </xf>
    <xf numFmtId="0" fontId="6" fillId="2" borderId="0" xfId="2" applyFont="1" applyFill="1" applyAlignment="1">
      <alignment vertical="top"/>
    </xf>
    <xf numFmtId="0" fontId="6" fillId="2" borderId="0" xfId="2" applyFont="1" applyFill="1" applyAlignment="1">
      <alignment horizontal="right" vertical="top" wrapText="1"/>
    </xf>
    <xf numFmtId="0" fontId="19" fillId="4" borderId="3" xfId="2" applyFont="1" applyFill="1" applyBorder="1" applyAlignment="1">
      <alignment horizontal="center"/>
    </xf>
    <xf numFmtId="17" fontId="25" fillId="3" borderId="0" xfId="2" applyNumberFormat="1" applyFont="1" applyFill="1"/>
    <xf numFmtId="164" fontId="15" fillId="3" borderId="0" xfId="2" applyNumberFormat="1" applyFont="1" applyFill="1"/>
    <xf numFmtId="0" fontId="15" fillId="3" borderId="1" xfId="2" applyFont="1" applyFill="1" applyBorder="1" applyAlignment="1" applyProtection="1">
      <alignment horizontal="center"/>
      <protection locked="0"/>
    </xf>
    <xf numFmtId="0" fontId="19" fillId="4" borderId="4" xfId="2" applyFont="1" applyFill="1" applyBorder="1" applyAlignment="1">
      <alignment horizontal="center"/>
    </xf>
    <xf numFmtId="0" fontId="25" fillId="3" borderId="0" xfId="2" applyFont="1" applyFill="1" applyAlignment="1">
      <alignment horizontal="left"/>
    </xf>
    <xf numFmtId="0" fontId="3" fillId="3" borderId="1" xfId="2" applyFill="1" applyBorder="1"/>
    <xf numFmtId="0" fontId="19" fillId="3" borderId="0" xfId="2" applyFont="1" applyFill="1" applyAlignment="1">
      <alignment horizontal="centerContinuous"/>
    </xf>
    <xf numFmtId="0" fontId="15" fillId="3" borderId="0" xfId="2" applyFont="1" applyFill="1" applyAlignment="1">
      <alignment horizontal="centerContinuous"/>
    </xf>
    <xf numFmtId="0" fontId="19" fillId="4" borderId="1" xfId="2" applyFont="1" applyFill="1" applyBorder="1" applyAlignment="1">
      <alignment horizontal="centerContinuous"/>
    </xf>
    <xf numFmtId="0" fontId="15" fillId="4" borderId="5" xfId="2" applyFont="1" applyFill="1" applyBorder="1" applyAlignment="1">
      <alignment horizontal="centerContinuous"/>
    </xf>
    <xf numFmtId="0" fontId="19" fillId="4" borderId="6" xfId="2" applyFont="1" applyFill="1" applyBorder="1" applyAlignment="1">
      <alignment horizontal="centerContinuous"/>
    </xf>
    <xf numFmtId="0" fontId="19" fillId="4" borderId="7" xfId="2" applyFont="1" applyFill="1" applyBorder="1"/>
    <xf numFmtId="0" fontId="19" fillId="4" borderId="7" xfId="2" applyFont="1" applyFill="1" applyBorder="1" applyAlignment="1">
      <alignment horizontal="center"/>
    </xf>
    <xf numFmtId="0" fontId="19" fillId="4" borderId="8" xfId="2" applyFont="1" applyFill="1" applyBorder="1" applyAlignment="1">
      <alignment horizontal="center"/>
    </xf>
    <xf numFmtId="0" fontId="15" fillId="3" borderId="7" xfId="2" applyFont="1" applyFill="1" applyBorder="1" applyAlignment="1" applyProtection="1">
      <alignment horizontal="center"/>
      <protection locked="0"/>
    </xf>
    <xf numFmtId="0" fontId="15" fillId="3" borderId="8" xfId="2" applyFont="1" applyFill="1" applyBorder="1" applyAlignment="1" applyProtection="1">
      <alignment horizontal="center"/>
      <protection locked="0"/>
    </xf>
    <xf numFmtId="0" fontId="25" fillId="3" borderId="0" xfId="2" applyFont="1" applyFill="1"/>
    <xf numFmtId="0" fontId="19" fillId="4" borderId="9" xfId="2" applyFont="1" applyFill="1" applyBorder="1" applyAlignment="1">
      <alignment horizontal="centerContinuous"/>
    </xf>
    <xf numFmtId="0" fontId="3" fillId="4" borderId="1" xfId="2" applyFill="1" applyBorder="1" applyAlignment="1">
      <alignment horizontal="centerContinuous"/>
    </xf>
    <xf numFmtId="0" fontId="19" fillId="4" borderId="10" xfId="2" applyFont="1" applyFill="1" applyBorder="1" applyAlignment="1">
      <alignment horizontal="center"/>
    </xf>
    <xf numFmtId="0" fontId="19" fillId="4" borderId="6" xfId="2" applyFont="1" applyFill="1" applyBorder="1" applyAlignment="1">
      <alignment horizontal="center"/>
    </xf>
    <xf numFmtId="0" fontId="15" fillId="3" borderId="9" xfId="2" applyFont="1" applyFill="1" applyBorder="1" applyAlignment="1" applyProtection="1">
      <alignment horizontal="center"/>
      <protection locked="0"/>
    </xf>
    <xf numFmtId="0" fontId="15" fillId="3" borderId="5" xfId="2" applyFont="1" applyFill="1" applyBorder="1" applyAlignment="1" applyProtection="1">
      <alignment horizontal="center"/>
      <protection locked="0"/>
    </xf>
    <xf numFmtId="0" fontId="19" fillId="4" borderId="0" xfId="4" applyFont="1" applyFill="1"/>
    <xf numFmtId="0" fontId="15" fillId="4" borderId="0" xfId="4" applyFont="1" applyFill="1"/>
    <xf numFmtId="43" fontId="15" fillId="3" borderId="0" xfId="6" applyFont="1" applyFill="1"/>
    <xf numFmtId="0" fontId="19" fillId="3" borderId="0" xfId="2" applyFont="1" applyFill="1" applyAlignment="1">
      <alignment horizontal="center"/>
    </xf>
    <xf numFmtId="0" fontId="19" fillId="3" borderId="0" xfId="2" applyFont="1" applyFill="1" applyAlignment="1">
      <alignment horizontal="left"/>
    </xf>
    <xf numFmtId="0" fontId="19" fillId="4" borderId="2" xfId="2" applyFont="1" applyFill="1" applyBorder="1" applyAlignment="1">
      <alignment horizontal="center" vertical="center"/>
    </xf>
    <xf numFmtId="0" fontId="19" fillId="4" borderId="7" xfId="2" applyFont="1" applyFill="1" applyBorder="1" applyAlignment="1">
      <alignment horizontal="center" vertical="center" wrapText="1"/>
    </xf>
    <xf numFmtId="0" fontId="19" fillId="4" borderId="1" xfId="2" applyFont="1" applyFill="1" applyBorder="1" applyAlignment="1">
      <alignment horizontal="center"/>
    </xf>
    <xf numFmtId="0" fontId="15" fillId="3" borderId="0" xfId="2" applyFont="1" applyFill="1" applyAlignment="1">
      <alignment vertical="top"/>
    </xf>
    <xf numFmtId="0" fontId="19" fillId="4" borderId="1" xfId="2" applyFont="1" applyFill="1" applyBorder="1" applyAlignment="1">
      <alignment horizontal="center" vertical="center"/>
    </xf>
    <xf numFmtId="0" fontId="15" fillId="2" borderId="0" xfId="2" applyFont="1" applyFill="1" applyAlignment="1">
      <alignment vertical="top" wrapText="1"/>
    </xf>
    <xf numFmtId="0" fontId="15" fillId="3" borderId="1" xfId="2" applyFont="1" applyFill="1" applyBorder="1" applyAlignment="1" applyProtection="1">
      <alignment vertical="top" wrapText="1"/>
      <protection locked="0"/>
    </xf>
    <xf numFmtId="0" fontId="15" fillId="3" borderId="0" xfId="2" applyFont="1" applyFill="1" applyAlignment="1">
      <alignment vertical="top" wrapText="1"/>
    </xf>
    <xf numFmtId="0" fontId="19" fillId="3" borderId="0" xfId="2" applyFont="1" applyFill="1" applyAlignment="1">
      <alignment horizontal="centerContinuous" vertical="center"/>
    </xf>
    <xf numFmtId="0" fontId="3" fillId="3" borderId="0" xfId="2" applyFill="1" applyAlignment="1">
      <alignment horizontal="centerContinuous" vertical="center"/>
    </xf>
    <xf numFmtId="0" fontId="15" fillId="4" borderId="1" xfId="2" applyFont="1" applyFill="1" applyBorder="1" applyAlignment="1">
      <alignment horizontal="center"/>
    </xf>
    <xf numFmtId="0" fontId="15" fillId="3" borderId="0" xfId="2" applyFont="1" applyFill="1" applyAlignment="1">
      <alignment wrapText="1"/>
    </xf>
    <xf numFmtId="0" fontId="19" fillId="4" borderId="1" xfId="2" applyFont="1" applyFill="1" applyBorder="1" applyAlignment="1">
      <alignment horizontal="center" wrapText="1"/>
    </xf>
    <xf numFmtId="0" fontId="19" fillId="4" borderId="1" xfId="2" applyFont="1" applyFill="1" applyBorder="1" applyAlignment="1">
      <alignment horizontal="center" vertical="center" wrapText="1"/>
    </xf>
    <xf numFmtId="0" fontId="26" fillId="3" borderId="0" xfId="2" applyFont="1" applyFill="1"/>
    <xf numFmtId="0" fontId="19" fillId="4" borderId="9" xfId="2" applyFont="1" applyFill="1" applyBorder="1"/>
    <xf numFmtId="0" fontId="15" fillId="4" borderId="11" xfId="2" applyFont="1" applyFill="1" applyBorder="1"/>
    <xf numFmtId="0" fontId="15" fillId="4" borderId="5" xfId="2" applyFont="1" applyFill="1" applyBorder="1"/>
    <xf numFmtId="0" fontId="15" fillId="3" borderId="1" xfId="2" applyFont="1" applyFill="1" applyBorder="1" applyAlignment="1">
      <alignment horizontal="left"/>
    </xf>
    <xf numFmtId="0" fontId="15" fillId="3" borderId="0" xfId="2" applyFont="1" applyFill="1" applyAlignment="1" applyProtection="1">
      <alignment horizontal="left"/>
      <protection locked="0"/>
    </xf>
    <xf numFmtId="0" fontId="15" fillId="3" borderId="0" xfId="2" applyFont="1" applyFill="1" applyProtection="1">
      <protection locked="0"/>
    </xf>
    <xf numFmtId="14" fontId="15" fillId="3" borderId="0" xfId="2" applyNumberFormat="1" applyFont="1" applyFill="1"/>
    <xf numFmtId="14" fontId="15" fillId="3" borderId="0" xfId="2" applyNumberFormat="1" applyFont="1" applyFill="1" applyProtection="1">
      <protection locked="0"/>
    </xf>
    <xf numFmtId="0" fontId="21" fillId="4" borderId="0" xfId="2" applyFont="1" applyFill="1"/>
    <xf numFmtId="0" fontId="27" fillId="0" borderId="0" xfId="0" applyFont="1" applyAlignment="1">
      <alignment vertical="center"/>
    </xf>
    <xf numFmtId="0" fontId="28" fillId="3" borderId="0" xfId="2" applyFont="1" applyFill="1"/>
    <xf numFmtId="0" fontId="27" fillId="3" borderId="0" xfId="2" applyFont="1" applyFill="1"/>
    <xf numFmtId="168" fontId="29" fillId="3" borderId="0" xfId="1" applyNumberFormat="1" applyFont="1" applyFill="1"/>
    <xf numFmtId="10" fontId="29" fillId="2" borderId="0" xfId="5" applyNumberFormat="1" applyFont="1" applyFill="1"/>
    <xf numFmtId="43" fontId="29" fillId="2" borderId="0" xfId="1" applyFont="1" applyFill="1"/>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Font="1"/>
    <xf numFmtId="0" fontId="29" fillId="3" borderId="0" xfId="2" applyFont="1" applyFill="1"/>
    <xf numFmtId="0" fontId="30" fillId="3" borderId="0" xfId="2" applyFont="1" applyFill="1" applyAlignment="1">
      <alignment horizontal="centerContinuous"/>
    </xf>
    <xf numFmtId="0" fontId="29" fillId="3" borderId="0" xfId="2" applyFont="1" applyFill="1" applyAlignment="1">
      <alignment horizontal="center"/>
    </xf>
    <xf numFmtId="0" fontId="29" fillId="3" borderId="0" xfId="2" applyFont="1" applyFill="1" applyAlignment="1">
      <alignment horizontal="centerContinuous"/>
    </xf>
    <xf numFmtId="0" fontId="30" fillId="3" borderId="0" xfId="2" applyFont="1" applyFill="1" applyAlignment="1">
      <alignment horizontal="center"/>
    </xf>
    <xf numFmtId="0" fontId="30" fillId="3" borderId="12" xfId="2" applyFont="1" applyFill="1" applyBorder="1" applyAlignment="1">
      <alignment horizontal="center"/>
    </xf>
    <xf numFmtId="0" fontId="29" fillId="2" borderId="0" xfId="2" applyFont="1" applyFill="1"/>
    <xf numFmtId="0" fontId="31" fillId="3" borderId="0" xfId="2" applyFont="1" applyFill="1"/>
    <xf numFmtId="2" fontId="29" fillId="3" borderId="0" xfId="2" applyNumberFormat="1" applyFont="1" applyFill="1"/>
    <xf numFmtId="0" fontId="29" fillId="3" borderId="12" xfId="2" applyFont="1" applyFill="1" applyBorder="1"/>
    <xf numFmtId="2" fontId="29" fillId="2" borderId="0" xfId="2" applyNumberFormat="1" applyFont="1" applyFill="1"/>
    <xf numFmtId="0" fontId="29" fillId="2" borderId="12" xfId="2" applyFont="1" applyFill="1" applyBorder="1"/>
    <xf numFmtId="2" fontId="29" fillId="2" borderId="12" xfId="2" applyNumberFormat="1" applyFont="1" applyFill="1" applyBorder="1"/>
    <xf numFmtId="0" fontId="29" fillId="3" borderId="12" xfId="2" applyFont="1" applyFill="1" applyBorder="1" applyAlignment="1">
      <alignment horizontal="center"/>
    </xf>
    <xf numFmtId="2" fontId="29" fillId="3" borderId="12" xfId="2" applyNumberFormat="1" applyFont="1" applyFill="1" applyBorder="1"/>
    <xf numFmtId="0" fontId="29" fillId="3" borderId="0" xfId="2" applyFont="1" applyFill="1" applyAlignment="1">
      <alignment horizontal="right"/>
    </xf>
    <xf numFmtId="0" fontId="29" fillId="3" borderId="0" xfId="2" applyFont="1" applyFill="1" applyAlignment="1">
      <alignment horizontal="left"/>
    </xf>
    <xf numFmtId="2" fontId="29" fillId="3" borderId="0" xfId="2" applyNumberFormat="1" applyFont="1" applyFill="1" applyAlignment="1">
      <alignment horizontal="right"/>
    </xf>
    <xf numFmtId="0" fontId="29" fillId="0" borderId="0" xfId="2" applyFont="1"/>
    <xf numFmtId="0" fontId="29" fillId="3" borderId="0" xfId="2" quotePrefix="1" applyFont="1" applyFill="1" applyAlignment="1">
      <alignment horizontal="left"/>
    </xf>
    <xf numFmtId="169" fontId="29" fillId="3" borderId="0" xfId="2" applyNumberFormat="1" applyFont="1" applyFill="1" applyAlignment="1">
      <alignment horizontal="center"/>
    </xf>
    <xf numFmtId="2" fontId="4" fillId="3" borderId="0" xfId="2" applyNumberFormat="1" applyFont="1" applyFill="1"/>
    <xf numFmtId="10" fontId="19" fillId="5" borderId="0" xfId="4" applyNumberFormat="1" applyFont="1" applyFill="1" applyAlignment="1">
      <alignment horizontal="left"/>
    </xf>
    <xf numFmtId="0" fontId="30" fillId="3" borderId="0" xfId="2" applyFont="1" applyFill="1" applyAlignment="1">
      <alignment horizontal="right"/>
    </xf>
    <xf numFmtId="0" fontId="29" fillId="3" borderId="0" xfId="2" applyFont="1" applyFill="1"/>
    <xf numFmtId="0" fontId="30" fillId="3" borderId="0" xfId="2" applyFont="1" applyFill="1" applyAlignment="1">
      <alignment horizontal="center"/>
    </xf>
    <xf numFmtId="0" fontId="29" fillId="3" borderId="0" xfId="2" applyFont="1" applyFill="1" applyAlignment="1">
      <alignment horizontal="center"/>
    </xf>
    <xf numFmtId="0" fontId="30" fillId="3" borderId="0" xfId="2" quotePrefix="1" applyFont="1" applyFill="1" applyAlignment="1">
      <alignment horizontal="center"/>
    </xf>
    <xf numFmtId="0" fontId="30" fillId="3" borderId="12" xfId="2" applyFont="1" applyFill="1" applyBorder="1" applyAlignment="1">
      <alignment horizontal="center"/>
    </xf>
    <xf numFmtId="0" fontId="0" fillId="0" borderId="12" xfId="0" applyBorder="1"/>
    <xf numFmtId="0" fontId="29" fillId="3" borderId="12" xfId="2" quotePrefix="1" applyFont="1" applyFill="1" applyBorder="1" applyAlignment="1">
      <alignment horizontal="center"/>
    </xf>
    <xf numFmtId="0" fontId="29" fillId="2" borderId="0" xfId="2" applyFont="1" applyFill="1"/>
    <xf numFmtId="0" fontId="29" fillId="3" borderId="12" xfId="2" applyFont="1" applyFill="1" applyBorder="1" applyAlignment="1">
      <alignment horizontal="center"/>
    </xf>
    <xf numFmtId="165" fontId="15" fillId="3" borderId="1" xfId="2" applyNumberFormat="1" applyFont="1" applyFill="1" applyBorder="1" applyAlignment="1" applyProtection="1">
      <alignment horizontal="center"/>
      <protection locked="0"/>
    </xf>
    <xf numFmtId="2" fontId="15" fillId="3" borderId="1" xfId="2" quotePrefix="1" applyNumberFormat="1" applyFont="1" applyFill="1" applyBorder="1" applyAlignment="1" applyProtection="1">
      <alignment horizontal="center"/>
      <protection locked="0"/>
    </xf>
    <xf numFmtId="2" fontId="15" fillId="3" borderId="1" xfId="2" applyNumberFormat="1" applyFont="1" applyFill="1" applyBorder="1" applyAlignment="1" applyProtection="1">
      <alignment horizontal="center"/>
      <protection locked="0"/>
    </xf>
    <xf numFmtId="2" fontId="15" fillId="0" borderId="1" xfId="2" applyNumberFormat="1" applyFont="1" applyBorder="1" applyAlignment="1" applyProtection="1">
      <alignment horizontal="center"/>
      <protection locked="0"/>
    </xf>
    <xf numFmtId="10" fontId="15" fillId="3" borderId="0" xfId="2" quotePrefix="1" applyNumberFormat="1" applyFont="1" applyFill="1" applyBorder="1" applyAlignment="1" applyProtection="1">
      <alignment horizontal="center"/>
      <protection locked="0"/>
    </xf>
    <xf numFmtId="10" fontId="15" fillId="3" borderId="0" xfId="2" applyNumberFormat="1" applyFont="1" applyFill="1" applyBorder="1" applyAlignment="1" applyProtection="1">
      <alignment horizontal="center"/>
      <protection locked="0"/>
    </xf>
    <xf numFmtId="10" fontId="15" fillId="0" borderId="0" xfId="2" applyNumberFormat="1" applyFont="1" applyBorder="1" applyAlignment="1" applyProtection="1">
      <alignment horizontal="center"/>
      <protection locked="0"/>
    </xf>
    <xf numFmtId="165" fontId="15" fillId="3" borderId="7" xfId="2" applyNumberFormat="1" applyFont="1" applyFill="1" applyBorder="1" applyAlignment="1" applyProtection="1">
      <alignment horizontal="center"/>
      <protection locked="0"/>
    </xf>
    <xf numFmtId="0" fontId="15" fillId="2" borderId="0" xfId="2" applyFont="1" applyFill="1"/>
    <xf numFmtId="0" fontId="19" fillId="2" borderId="0" xfId="2" applyFont="1" applyFill="1"/>
    <xf numFmtId="0" fontId="25" fillId="2" borderId="0" xfId="2" applyFont="1" applyFill="1" applyAlignment="1">
      <alignment horizontal="center" vertical="center"/>
    </xf>
    <xf numFmtId="43" fontId="25" fillId="2" borderId="0" xfId="1" applyFont="1" applyFill="1" applyAlignment="1">
      <alignment horizontal="center" vertical="center"/>
    </xf>
    <xf numFmtId="166" fontId="25" fillId="2" borderId="0" xfId="1" applyNumberFormat="1" applyFont="1" applyFill="1" applyAlignment="1">
      <alignment horizontal="center" vertical="center"/>
    </xf>
    <xf numFmtId="167" fontId="25" fillId="2" borderId="0" xfId="1" applyNumberFormat="1" applyFont="1" applyFill="1" applyAlignment="1">
      <alignment horizontal="center" vertical="center"/>
    </xf>
    <xf numFmtId="0" fontId="3" fillId="2" borderId="0" xfId="2" applyFont="1" applyFill="1"/>
    <xf numFmtId="0" fontId="25" fillId="2" borderId="0" xfId="2" applyFont="1" applyFill="1" applyAlignment="1">
      <alignment horizontal="left"/>
    </xf>
    <xf numFmtId="0" fontId="25" fillId="2" borderId="0" xfId="2" applyFont="1" applyFill="1"/>
    <xf numFmtId="14" fontId="25"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29">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E674-4BC8-A5B4-42FF2AAE60FD}"/>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78B8-448D-91E4-7191993C7F89}"/>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6144-4F01-9054-2EECADC1DAA4}"/>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F391-446E-AEE6-454E8EA4324D}"/>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A2C2-404A-8A11-213FB839F198}"/>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3F12-4FC1-BE77-9E0A5AA9483C}"/>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ustomProperty" Target="../customProperty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60"/>
  <sheetViews>
    <sheetView showGridLines="0" tabSelected="1" topLeftCell="BF1" zoomScale="90" zoomScaleNormal="90" workbookViewId="0">
      <selection activeCell="BM10" sqref="BM10"/>
    </sheetView>
  </sheetViews>
  <sheetFormatPr baseColWidth="10" defaultColWidth="11.453125" defaultRowHeight="12.5" x14ac:dyDescent="0.25"/>
  <cols>
    <col min="1" max="1" width="20" style="20" customWidth="1"/>
    <col min="2" max="2" width="19" style="20" customWidth="1"/>
    <col min="3" max="3" width="39.81640625" style="20" customWidth="1"/>
    <col min="4" max="4" width="27.1796875" style="20" customWidth="1"/>
    <col min="5" max="5" width="19.81640625" style="20" customWidth="1"/>
    <col min="6" max="6" width="25.1796875" style="20" customWidth="1"/>
    <col min="7" max="7" width="21.1796875" style="20" customWidth="1"/>
    <col min="8" max="8" width="17" style="20" customWidth="1"/>
    <col min="9" max="10" width="7.81640625" style="20" customWidth="1"/>
    <col min="11" max="11" width="11.453125" style="17" customWidth="1"/>
    <col min="12" max="12" width="7.1796875" style="17" bestFit="1" customWidth="1"/>
    <col min="13" max="13" width="22" style="17" bestFit="1" customWidth="1"/>
    <col min="14" max="14" width="8.81640625" style="17" bestFit="1" customWidth="1"/>
    <col min="15" max="15" width="15.1796875" style="17" bestFit="1" customWidth="1"/>
    <col min="16" max="16" width="7.1796875" style="17" bestFit="1" customWidth="1"/>
    <col min="17" max="17" width="6" style="17" bestFit="1" customWidth="1"/>
    <col min="18" max="18" width="6.1796875" style="17" bestFit="1" customWidth="1"/>
    <col min="19" max="19" width="6" style="17" bestFit="1" customWidth="1"/>
    <col min="20" max="21" width="6.1796875" style="17" bestFit="1" customWidth="1"/>
    <col min="22" max="22" width="5.81640625" style="17" bestFit="1" customWidth="1"/>
    <col min="23" max="23" width="5" style="17" bestFit="1" customWidth="1"/>
    <col min="24" max="24" width="5.1796875" style="17" bestFit="1" customWidth="1"/>
    <col min="25" max="26" width="4.1796875" style="17" bestFit="1" customWidth="1"/>
    <col min="27" max="30" width="5.81640625" style="17" bestFit="1" customWidth="1"/>
    <col min="31" max="31" width="6.1796875" style="17" bestFit="1" customWidth="1"/>
    <col min="32" max="32" width="6.453125" style="17" bestFit="1" customWidth="1"/>
    <col min="33" max="33" width="5" style="17" bestFit="1" customWidth="1"/>
    <col min="34" max="35" width="5.1796875" style="17" bestFit="1" customWidth="1"/>
    <col min="36" max="36" width="4.81640625" style="17" bestFit="1" customWidth="1"/>
    <col min="37" max="37" width="5" style="17" bestFit="1" customWidth="1"/>
    <col min="38" max="38" width="5.1796875" style="17" bestFit="1" customWidth="1"/>
    <col min="39" max="39" width="6.81640625" style="17" bestFit="1" customWidth="1"/>
    <col min="40" max="41" width="5.453125" style="17" bestFit="1" customWidth="1"/>
    <col min="42" max="43" width="6.81640625" style="17" bestFit="1" customWidth="1"/>
    <col min="44" max="44" width="6" style="17" bestFit="1" customWidth="1"/>
    <col min="45" max="45" width="6.1796875" style="17" bestFit="1" customWidth="1"/>
    <col min="46" max="46" width="6" style="17" bestFit="1" customWidth="1"/>
    <col min="47" max="47" width="6.1796875" style="17" bestFit="1" customWidth="1"/>
    <col min="48" max="48" width="10.1796875" style="17" bestFit="1" customWidth="1"/>
    <col min="49" max="49" width="8" style="17" bestFit="1" customWidth="1"/>
    <col min="50" max="50" width="9.1796875" style="17" bestFit="1" customWidth="1"/>
    <col min="51" max="53" width="6.81640625" style="17" bestFit="1" customWidth="1"/>
    <col min="54" max="54" width="11.453125" style="17" bestFit="1" customWidth="1"/>
    <col min="55" max="55" width="9.54296875" style="17" bestFit="1" customWidth="1"/>
    <col min="56" max="64" width="11.453125" style="20" customWidth="1"/>
    <col min="65" max="65" width="17.1796875" style="20" customWidth="1"/>
    <col min="66" max="70" width="11.453125" style="20" customWidth="1"/>
    <col min="71" max="71" width="14.1796875" style="20" customWidth="1"/>
    <col min="72" max="72" width="11.453125" style="20" customWidth="1"/>
    <col min="73" max="16384" width="11.453125" style="20"/>
  </cols>
  <sheetData>
    <row r="1" spans="1:92" s="7" customFormat="1" ht="15.5" customHeight="1" x14ac:dyDescent="0.35">
      <c r="A1" s="3">
        <v>46174</v>
      </c>
      <c r="B1" s="4">
        <v>2</v>
      </c>
      <c r="C1" s="4">
        <v>4</v>
      </c>
      <c r="D1" s="4">
        <v>3</v>
      </c>
      <c r="E1" s="5"/>
      <c r="F1" s="5"/>
      <c r="G1" s="5"/>
      <c r="H1" s="148"/>
      <c r="I1" s="148"/>
      <c r="J1" s="148"/>
      <c r="K1" s="149"/>
      <c r="L1" s="150" t="s">
        <v>0</v>
      </c>
      <c r="M1" s="150" t="s">
        <v>1</v>
      </c>
      <c r="N1" s="150" t="s">
        <v>2</v>
      </c>
      <c r="O1" s="150" t="s">
        <v>3</v>
      </c>
      <c r="P1" s="150" t="s">
        <v>4</v>
      </c>
      <c r="Q1" s="151" t="s">
        <v>5</v>
      </c>
      <c r="R1" s="151" t="s">
        <v>6</v>
      </c>
      <c r="S1" s="151" t="s">
        <v>7</v>
      </c>
      <c r="T1" s="151" t="s">
        <v>8</v>
      </c>
      <c r="U1" s="151" t="s">
        <v>9</v>
      </c>
      <c r="V1" s="151" t="s">
        <v>10</v>
      </c>
      <c r="W1" s="151" t="s">
        <v>11</v>
      </c>
      <c r="X1" s="151" t="s">
        <v>12</v>
      </c>
      <c r="Y1" s="152" t="s">
        <v>13</v>
      </c>
      <c r="Z1" s="152" t="s">
        <v>14</v>
      </c>
      <c r="AA1" s="153" t="s">
        <v>15</v>
      </c>
      <c r="AB1" s="153" t="s">
        <v>16</v>
      </c>
      <c r="AC1" s="153" t="s">
        <v>17</v>
      </c>
      <c r="AD1" s="153" t="s">
        <v>18</v>
      </c>
      <c r="AE1" s="151" t="s">
        <v>19</v>
      </c>
      <c r="AF1" s="151" t="s">
        <v>20</v>
      </c>
      <c r="AG1" s="152" t="s">
        <v>21</v>
      </c>
      <c r="AH1" s="152" t="s">
        <v>22</v>
      </c>
      <c r="AI1" s="151" t="s">
        <v>23</v>
      </c>
      <c r="AJ1" s="151" t="s">
        <v>24</v>
      </c>
      <c r="AK1" s="151" t="s">
        <v>25</v>
      </c>
      <c r="AL1" s="151" t="s">
        <v>26</v>
      </c>
      <c r="AM1" s="150" t="s">
        <v>27</v>
      </c>
      <c r="AN1" s="150" t="s">
        <v>28</v>
      </c>
      <c r="AO1" s="150" t="s">
        <v>29</v>
      </c>
      <c r="AP1" s="150" t="s">
        <v>30</v>
      </c>
      <c r="AQ1" s="150" t="s">
        <v>31</v>
      </c>
      <c r="AR1" s="150" t="s">
        <v>32</v>
      </c>
      <c r="AS1" s="150" t="s">
        <v>33</v>
      </c>
      <c r="AT1" s="150" t="s">
        <v>34</v>
      </c>
      <c r="AU1" s="150" t="s">
        <v>35</v>
      </c>
      <c r="AV1" s="150" t="s">
        <v>36</v>
      </c>
      <c r="AW1" s="150" t="s">
        <v>37</v>
      </c>
      <c r="AX1" s="150" t="s">
        <v>38</v>
      </c>
      <c r="AY1" s="150" t="s">
        <v>39</v>
      </c>
      <c r="AZ1" s="150" t="s">
        <v>40</v>
      </c>
      <c r="BA1" s="150" t="s">
        <v>41</v>
      </c>
      <c r="BB1" s="150" t="s">
        <v>42</v>
      </c>
      <c r="BC1" s="150" t="s">
        <v>43</v>
      </c>
      <c r="BD1" s="150" t="s">
        <v>44</v>
      </c>
      <c r="BE1" s="150" t="s">
        <v>45</v>
      </c>
      <c r="BF1" s="150" t="s">
        <v>46</v>
      </c>
      <c r="BG1" s="150" t="s">
        <v>47</v>
      </c>
      <c r="BH1" s="150" t="s">
        <v>48</v>
      </c>
      <c r="BI1" s="151" t="s">
        <v>49</v>
      </c>
      <c r="BJ1" s="151" t="s">
        <v>50</v>
      </c>
      <c r="BK1" s="151" t="s">
        <v>51</v>
      </c>
      <c r="BL1" s="151" t="s">
        <v>52</v>
      </c>
      <c r="BM1" s="150" t="s">
        <v>53</v>
      </c>
      <c r="BN1" s="150" t="s">
        <v>54</v>
      </c>
      <c r="BO1" s="150" t="s">
        <v>55</v>
      </c>
      <c r="BP1" s="150" t="s">
        <v>56</v>
      </c>
      <c r="BQ1" s="150" t="s">
        <v>57</v>
      </c>
      <c r="BR1" s="150" t="s">
        <v>58</v>
      </c>
      <c r="BS1" s="150" t="s">
        <v>59</v>
      </c>
      <c r="BT1" s="150" t="s">
        <v>60</v>
      </c>
      <c r="BU1" s="154"/>
      <c r="BV1" s="154"/>
      <c r="BW1" s="154"/>
      <c r="BX1" s="154"/>
      <c r="BY1" s="154"/>
      <c r="BZ1" s="154"/>
      <c r="CA1" s="154"/>
      <c r="CB1" s="154"/>
      <c r="CC1" s="154"/>
      <c r="CD1" s="154"/>
      <c r="CE1" s="154"/>
      <c r="CF1" s="154"/>
      <c r="CG1" s="154"/>
      <c r="CH1" s="154"/>
      <c r="CI1" s="154"/>
      <c r="CJ1" s="154"/>
      <c r="CK1" s="154"/>
      <c r="CL1" s="154"/>
      <c r="CM1" s="154"/>
      <c r="CN1" s="154"/>
    </row>
    <row r="2" spans="1:92" s="7" customFormat="1" ht="15.5" customHeight="1" x14ac:dyDescent="0.35">
      <c r="A2" s="5"/>
      <c r="B2" s="5"/>
      <c r="C2" s="5"/>
      <c r="D2" s="5"/>
      <c r="E2" s="5"/>
      <c r="F2" s="5"/>
      <c r="G2" s="5"/>
      <c r="H2" s="148"/>
      <c r="I2" s="148"/>
      <c r="J2" s="148"/>
      <c r="K2" s="149"/>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4"/>
      <c r="BY2" s="154"/>
      <c r="BZ2" s="154"/>
      <c r="CA2" s="154"/>
      <c r="CB2" s="154"/>
      <c r="CC2" s="154"/>
      <c r="CD2" s="154"/>
      <c r="CE2" s="154"/>
      <c r="CF2" s="154"/>
      <c r="CG2" s="154"/>
      <c r="CH2" s="154"/>
      <c r="CI2" s="154"/>
      <c r="CJ2" s="154"/>
      <c r="CK2" s="154"/>
      <c r="CL2" s="154"/>
      <c r="CM2" s="154"/>
      <c r="CN2" s="154"/>
    </row>
    <row r="3" spans="1:92" s="7" customFormat="1" ht="15.5" customHeight="1" x14ac:dyDescent="0.35">
      <c r="A3" s="5"/>
      <c r="B3" s="5"/>
      <c r="C3" s="5"/>
      <c r="D3" s="5"/>
      <c r="E3" s="5"/>
      <c r="F3" s="5"/>
      <c r="G3" s="5"/>
      <c r="H3" s="148"/>
      <c r="I3" s="148"/>
      <c r="J3" s="148"/>
      <c r="K3" s="149"/>
      <c r="L3" s="155" t="str">
        <f>$B$146</f>
        <v>EE361-1</v>
      </c>
      <c r="M3" s="155"/>
      <c r="N3" s="155" t="str">
        <f>B145</f>
        <v>BOGOTA</v>
      </c>
      <c r="O3" s="155" t="s">
        <v>266</v>
      </c>
      <c r="P3" s="155">
        <v>1</v>
      </c>
      <c r="Q3" s="155">
        <f>IF($D$25=0,"sd",IF($D$25=" ","sd",$D$25))</f>
        <v>6.14</v>
      </c>
      <c r="R3" s="155">
        <f>IF($D$26=0,"sd",IF($D$26=" ","sd",$D$26))</f>
        <v>6.24</v>
      </c>
      <c r="S3" s="155">
        <f>IF($D$27=0,"sd",IF($D$27=" ","sd",$D$27))</f>
        <v>6.05</v>
      </c>
      <c r="T3" s="155">
        <f>IF($D$28=0,"sd",IF($D$28=" ","sd",$D$28))</f>
        <v>5.59</v>
      </c>
      <c r="U3" s="155">
        <f>IF($D$29=0,"sd",IF($D$29=" ","sd",$D$29))</f>
        <v>4.26</v>
      </c>
      <c r="V3" s="155">
        <f>IF($D$30=0,"sd",IF($D$30=" ","sd",$D$30))</f>
        <v>3</v>
      </c>
      <c r="W3" s="155">
        <f>IF($D$35=0,"sd",IF($D$35=" ","sd",$D$35))</f>
        <v>6.27</v>
      </c>
      <c r="X3" s="155">
        <f>IF($D$36=0,"sd",IF($D$36=" ","sd",$D$36))</f>
        <v>7.41</v>
      </c>
      <c r="Y3" s="155">
        <f>IF($D$46="X",1,IF($E$46="X",-1,IF($F$46="X",0,IF($G$46="X",2,"sd"))))</f>
        <v>2</v>
      </c>
      <c r="Z3" s="155">
        <f>IF($D$54="X",1,IF($E$54="X",-1,IF($F$54="X",0,IF($G$54="X",2,"sd"))))</f>
        <v>2</v>
      </c>
      <c r="AA3" s="155">
        <f>IF($D$74=0,"sd",IF($D$74=" ","sd",$D$74))</f>
        <v>3400</v>
      </c>
      <c r="AB3" s="155">
        <f>IF($D$75=0,"sd",IF($D$75=" ","sd",$D$75))</f>
        <v>3500</v>
      </c>
      <c r="AC3" s="155">
        <f>IF($D$76=0,"sd",IF($D$76=" ","sd",$D$76))</f>
        <v>3550</v>
      </c>
      <c r="AD3" s="155">
        <f>IF($D$77=0,"sd",IF($D$77=" ","sd",$D$77))</f>
        <v>3600</v>
      </c>
      <c r="AE3" s="155">
        <f>IF($D$87=" ","sd",$D$87)</f>
        <v>2.5</v>
      </c>
      <c r="AF3" s="155">
        <f>IF($D$88=" ","sd",$D$88)</f>
        <v>3</v>
      </c>
      <c r="AG3" s="155">
        <f>IF($D$94="X",1,IF($E$94="X",-1,IF($F$94="X",0,IF($G$94="X",2,"sd"))))</f>
        <v>0</v>
      </c>
      <c r="AH3" s="155">
        <f>IF($D$95="X",1,IF($E$95="X",-1,IF($F$95="X",0,IF($G$95="X",2,"sd"))))</f>
        <v>0</v>
      </c>
      <c r="AI3" s="155">
        <f>IF($D$65=0,"sd",IF($D$65=" ","sd",$D$65))</f>
        <v>12.05</v>
      </c>
      <c r="AJ3" s="155">
        <f>IF($D$66=0,"sd",IF($D$66=" ","sd",$D$66))</f>
        <v>12.05</v>
      </c>
      <c r="AK3" s="155">
        <f>IF($D$67=0,"sd",IF($D$67=" ","sd",$D$67))</f>
        <v>12.05</v>
      </c>
      <c r="AL3" s="155">
        <f>IF($D$68=0,"sd",IF($D$68=" ","sd",$D$68))</f>
        <v>11.84</v>
      </c>
      <c r="AM3" s="156" t="s">
        <v>61</v>
      </c>
      <c r="AN3" s="156" t="s">
        <v>61</v>
      </c>
      <c r="AO3" s="156" t="s">
        <v>61</v>
      </c>
      <c r="AP3" s="156" t="s">
        <v>61</v>
      </c>
      <c r="AQ3" s="156" t="s">
        <v>61</v>
      </c>
      <c r="AR3" s="156" t="s">
        <v>61</v>
      </c>
      <c r="AS3" s="156" t="s">
        <v>61</v>
      </c>
      <c r="AT3" s="156" t="s">
        <v>61</v>
      </c>
      <c r="AU3" s="156" t="s">
        <v>61</v>
      </c>
      <c r="AV3" s="156" t="s">
        <v>61</v>
      </c>
      <c r="AW3" s="156" t="s">
        <v>61</v>
      </c>
      <c r="AX3" s="156" t="s">
        <v>61</v>
      </c>
      <c r="AY3" s="156" t="s">
        <v>61</v>
      </c>
      <c r="AZ3" s="156" t="s">
        <v>61</v>
      </c>
      <c r="BA3" s="156" t="s">
        <v>61</v>
      </c>
      <c r="BB3" s="156" t="s">
        <v>61</v>
      </c>
      <c r="BC3" s="156" t="s">
        <v>61</v>
      </c>
      <c r="BD3" s="155">
        <f>VLOOKUP(C102,$L$5:$M$14,2,0)</f>
        <v>8</v>
      </c>
      <c r="BE3" s="155">
        <f>IF($D$108="X",1,IF($E$108="X",0,"sd"))</f>
        <v>0</v>
      </c>
      <c r="BF3" s="155" t="str">
        <f>IF($D$115="X",1,IF($E$115="X",2,IF($F$115="X",0,"sd")))</f>
        <v>sd</v>
      </c>
      <c r="BG3" s="155" t="str">
        <f>VLOOKUP(C120,$L$16:$M$22,2,0)</f>
        <v>sd</v>
      </c>
      <c r="BH3" s="155">
        <f>VLOOKUP(C125,$L$24:$M$32,2,0)</f>
        <v>8</v>
      </c>
      <c r="BI3" s="155">
        <f>IF($D$133="X",1,IF($E$133="X",0,"sd"))</f>
        <v>1</v>
      </c>
      <c r="BJ3" s="155" t="str">
        <f>IF($D$134="X",1,IF($E$134="X",0,"sd"))</f>
        <v>sd</v>
      </c>
      <c r="BK3" s="155">
        <f>IF($D$135="X",1,IF($E$135="X",0,"sd"))</f>
        <v>0</v>
      </c>
      <c r="BL3" s="155">
        <f>IF($E$137="X",1,IF($G$137="X",2,IF($E$138="X",3,IF($G$138="X",4,"sd"))))</f>
        <v>3</v>
      </c>
      <c r="BM3" s="155" t="str">
        <f>$B$142</f>
        <v>ACERIAS PAZ DEL RIO</v>
      </c>
      <c r="BN3" s="155" t="str">
        <f>$E$142</f>
        <v>DIRECTOR DIVISION FINANCIERA</v>
      </c>
      <c r="BO3" s="155" t="str">
        <f>+$B$143</f>
        <v>ACERIAS PAZ DEL RIO</v>
      </c>
      <c r="BP3" s="155" t="str">
        <f>+$E$143</f>
        <v>andrea.castro@pazdelrio.com.co</v>
      </c>
      <c r="BQ3" s="155" t="str">
        <f>$E$144</f>
        <v>6517300  6087730200</v>
      </c>
      <c r="BR3" s="155">
        <f>+$B$144</f>
        <v>0</v>
      </c>
      <c r="BS3" s="157">
        <f>$E$146</f>
        <v>46219</v>
      </c>
      <c r="BT3" s="156" t="s">
        <v>62</v>
      </c>
      <c r="BU3" s="154"/>
      <c r="BV3" s="154"/>
      <c r="BW3" s="154"/>
      <c r="BX3" s="154"/>
      <c r="BY3" s="154"/>
      <c r="BZ3" s="154"/>
      <c r="CA3" s="154"/>
      <c r="CB3" s="154"/>
      <c r="CC3" s="154"/>
      <c r="CD3" s="154"/>
      <c r="CE3" s="154"/>
      <c r="CF3" s="154"/>
      <c r="CG3" s="154"/>
      <c r="CH3" s="154"/>
      <c r="CI3" s="154"/>
      <c r="CJ3" s="154"/>
      <c r="CK3" s="154"/>
      <c r="CL3" s="154"/>
      <c r="CM3" s="154"/>
      <c r="CN3" s="154"/>
    </row>
    <row r="4" spans="1:92" s="11" customFormat="1" ht="15.5" customHeight="1" x14ac:dyDescent="0.35">
      <c r="A4" s="8"/>
      <c r="B4" s="8"/>
      <c r="C4" s="8"/>
      <c r="D4" s="8"/>
      <c r="E4" s="8"/>
      <c r="F4" s="8"/>
      <c r="G4" s="8"/>
      <c r="H4" s="8"/>
      <c r="I4" s="8"/>
      <c r="J4" s="8"/>
      <c r="K4" s="9"/>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row>
    <row r="5" spans="1:92" s="7" customFormat="1" ht="15.75" customHeight="1" x14ac:dyDescent="0.35">
      <c r="A5" s="5"/>
      <c r="B5" s="5"/>
      <c r="C5" s="5"/>
      <c r="D5" s="5"/>
      <c r="E5" s="5"/>
      <c r="F5" s="5"/>
      <c r="G5" s="5"/>
      <c r="H5" s="5"/>
      <c r="I5" s="5"/>
      <c r="J5" s="5"/>
      <c r="K5" s="6"/>
      <c r="L5" s="12" t="s">
        <v>63</v>
      </c>
      <c r="M5" s="13" t="s">
        <v>61</v>
      </c>
      <c r="N5" s="12"/>
      <c r="P5" s="12"/>
      <c r="AW5" s="14"/>
      <c r="AX5" s="15"/>
      <c r="AY5" s="14"/>
      <c r="AZ5" s="14"/>
    </row>
    <row r="6" spans="1:92" s="17" customFormat="1" ht="15.75" customHeight="1" x14ac:dyDescent="0.35">
      <c r="A6" s="14" t="s">
        <v>64</v>
      </c>
      <c r="B6" s="14"/>
      <c r="C6" s="14"/>
      <c r="D6" s="14"/>
      <c r="E6" s="14"/>
      <c r="F6" s="14"/>
      <c r="G6" s="14"/>
      <c r="H6" s="14"/>
      <c r="I6" s="14"/>
      <c r="J6" s="14"/>
      <c r="K6" s="16"/>
      <c r="L6" s="12" t="s">
        <v>65</v>
      </c>
      <c r="M6" s="13">
        <v>1</v>
      </c>
      <c r="N6" s="12"/>
      <c r="P6" s="12"/>
      <c r="AW6" s="14"/>
      <c r="AX6" s="15"/>
      <c r="AY6" s="14"/>
      <c r="AZ6" s="14"/>
    </row>
    <row r="7" spans="1:92" ht="19.5" customHeight="1" x14ac:dyDescent="0.35">
      <c r="A7" s="18" t="s">
        <v>66</v>
      </c>
      <c r="B7" s="19"/>
      <c r="C7" s="19"/>
      <c r="D7" s="19"/>
      <c r="E7" s="19"/>
      <c r="F7" s="19"/>
      <c r="G7" s="19"/>
      <c r="H7" s="19"/>
      <c r="I7" s="19"/>
      <c r="J7" s="19"/>
      <c r="K7" s="16"/>
      <c r="L7" s="12" t="s">
        <v>67</v>
      </c>
      <c r="M7" s="13">
        <v>2</v>
      </c>
      <c r="N7" s="12"/>
      <c r="P7" s="12"/>
      <c r="AW7" s="14"/>
      <c r="AX7" s="15"/>
      <c r="AY7" s="14"/>
      <c r="AZ7" s="14"/>
    </row>
    <row r="8" spans="1:92" ht="15.75" customHeight="1" x14ac:dyDescent="0.35">
      <c r="A8" s="21" t="s">
        <v>68</v>
      </c>
      <c r="B8" s="22"/>
      <c r="C8" s="22"/>
      <c r="D8" s="22"/>
      <c r="E8" s="22"/>
      <c r="F8" s="22"/>
      <c r="G8" s="22"/>
      <c r="H8" s="22"/>
      <c r="I8" s="22"/>
      <c r="J8" s="22"/>
      <c r="K8" s="14"/>
      <c r="L8" s="12" t="s">
        <v>69</v>
      </c>
      <c r="M8" s="13">
        <v>3</v>
      </c>
      <c r="AW8" s="14"/>
      <c r="AX8" s="15"/>
      <c r="AY8" s="14"/>
      <c r="AZ8" s="14"/>
    </row>
    <row r="9" spans="1:92" ht="15.75" customHeight="1" x14ac:dyDescent="0.35">
      <c r="L9" s="12" t="s">
        <v>70</v>
      </c>
      <c r="M9" s="13">
        <v>4</v>
      </c>
      <c r="AW9" s="14"/>
      <c r="AX9" s="15"/>
      <c r="AY9" s="14"/>
      <c r="AZ9" s="14"/>
    </row>
    <row r="10" spans="1:92" ht="20.25" customHeight="1" x14ac:dyDescent="0.5">
      <c r="A10" s="23"/>
      <c r="B10" s="23"/>
      <c r="C10" s="23"/>
      <c r="D10" s="24" t="s">
        <v>71</v>
      </c>
      <c r="F10" s="25"/>
      <c r="G10" s="26"/>
      <c r="H10" s="23"/>
      <c r="I10" s="23"/>
      <c r="J10" s="23"/>
      <c r="K10" s="14"/>
      <c r="L10" s="12" t="s">
        <v>72</v>
      </c>
      <c r="M10" s="13">
        <v>5</v>
      </c>
    </row>
    <row r="11" spans="1:92" ht="15.75" customHeight="1" x14ac:dyDescent="0.35">
      <c r="A11" s="27"/>
      <c r="B11" s="27"/>
      <c r="C11" s="27"/>
      <c r="D11" s="27"/>
      <c r="E11" s="27"/>
      <c r="F11" s="27"/>
      <c r="G11" s="27"/>
      <c r="H11" s="27"/>
      <c r="I11" s="27"/>
      <c r="J11" s="27"/>
      <c r="K11" s="14"/>
      <c r="L11" s="12" t="s">
        <v>73</v>
      </c>
      <c r="M11" s="13">
        <v>6</v>
      </c>
    </row>
    <row r="12" spans="1:92" ht="15.75" customHeight="1" x14ac:dyDescent="0.35">
      <c r="A12" s="28" t="s">
        <v>74</v>
      </c>
      <c r="B12" s="29"/>
      <c r="C12" s="27"/>
      <c r="D12" s="28" t="s">
        <v>75</v>
      </c>
      <c r="F12" s="28" t="s">
        <v>76</v>
      </c>
      <c r="G12" s="29" t="s">
        <v>77</v>
      </c>
      <c r="H12" s="23"/>
      <c r="K12" s="14"/>
      <c r="L12" s="12" t="s">
        <v>78</v>
      </c>
      <c r="M12" s="13">
        <v>7</v>
      </c>
    </row>
    <row r="13" spans="1:92" ht="15.5" customHeight="1" x14ac:dyDescent="0.35">
      <c r="A13" s="28" t="s">
        <v>79</v>
      </c>
      <c r="B13" s="30" t="s">
        <v>80</v>
      </c>
      <c r="C13" s="27"/>
      <c r="D13" s="28" t="s">
        <v>81</v>
      </c>
      <c r="G13" s="23"/>
      <c r="H13" s="23"/>
      <c r="K13" s="14"/>
      <c r="L13" s="12" t="s">
        <v>82</v>
      </c>
      <c r="M13" s="13">
        <v>8</v>
      </c>
    </row>
    <row r="14" spans="1:92" ht="15.5" customHeight="1" x14ac:dyDescent="0.35">
      <c r="A14" s="27"/>
      <c r="B14" s="27"/>
      <c r="C14" s="27"/>
      <c r="D14" s="27"/>
      <c r="E14" s="27"/>
      <c r="F14" s="27"/>
      <c r="G14" s="27"/>
      <c r="H14" s="27"/>
      <c r="I14" s="27"/>
      <c r="J14" s="27"/>
      <c r="K14" s="14"/>
      <c r="L14" s="12" t="s">
        <v>83</v>
      </c>
      <c r="M14" s="31">
        <v>9</v>
      </c>
    </row>
    <row r="15" spans="1:92" ht="18.75" customHeight="1" x14ac:dyDescent="0.4">
      <c r="A15" s="32" t="s">
        <v>84</v>
      </c>
      <c r="B15" s="33"/>
      <c r="C15" s="33"/>
      <c r="D15" s="33"/>
      <c r="E15" s="33"/>
      <c r="F15" s="33"/>
      <c r="G15" s="33"/>
      <c r="H15" s="27"/>
      <c r="I15" s="27"/>
      <c r="J15" s="27"/>
      <c r="K15" s="14"/>
      <c r="M15" s="34"/>
    </row>
    <row r="16" spans="1:92" ht="15.75" customHeight="1" x14ac:dyDescent="0.35">
      <c r="A16" s="35" t="s">
        <v>85</v>
      </c>
      <c r="B16" s="27"/>
      <c r="C16" s="27"/>
      <c r="D16" s="27"/>
      <c r="E16" s="27"/>
      <c r="F16" s="27"/>
      <c r="G16" s="27"/>
      <c r="H16" s="27"/>
      <c r="I16" s="27"/>
      <c r="J16" s="27"/>
      <c r="K16" s="14"/>
      <c r="L16" s="12" t="s">
        <v>63</v>
      </c>
      <c r="M16" s="13" t="s">
        <v>61</v>
      </c>
      <c r="BD16" s="36"/>
      <c r="BE16" s="36"/>
      <c r="BF16" s="36"/>
      <c r="BG16" s="36"/>
      <c r="BH16" s="36"/>
      <c r="BI16" s="36"/>
      <c r="BJ16" s="36"/>
      <c r="BK16" s="36"/>
      <c r="BL16" s="36"/>
      <c r="BM16" s="36"/>
      <c r="BN16" s="36"/>
      <c r="BO16" s="36"/>
      <c r="BP16" s="36"/>
      <c r="BQ16" s="36"/>
      <c r="BR16" s="36"/>
      <c r="BS16" s="36"/>
    </row>
    <row r="17" spans="1:71" ht="15.75" customHeight="1" x14ac:dyDescent="0.35">
      <c r="A17" s="28" t="s">
        <v>86</v>
      </c>
      <c r="B17" s="29"/>
      <c r="C17" s="29"/>
      <c r="D17" s="29"/>
      <c r="E17" s="29"/>
      <c r="F17" s="29"/>
      <c r="G17" s="29"/>
      <c r="H17" s="23"/>
      <c r="I17" s="27"/>
      <c r="J17" s="27"/>
      <c r="K17" s="14"/>
      <c r="L17" s="12" t="s">
        <v>87</v>
      </c>
      <c r="M17" s="13">
        <v>1</v>
      </c>
      <c r="BD17" s="17"/>
      <c r="BE17" s="17"/>
      <c r="BF17" s="17"/>
      <c r="BG17" s="17"/>
      <c r="BH17" s="17"/>
      <c r="BI17" s="17"/>
      <c r="BJ17" s="17"/>
      <c r="BK17" s="17"/>
      <c r="BL17" s="17"/>
      <c r="BM17" s="17"/>
      <c r="BN17" s="17"/>
      <c r="BO17" s="17"/>
      <c r="BP17" s="17"/>
      <c r="BQ17" s="17"/>
      <c r="BR17" s="17"/>
      <c r="BS17" s="17"/>
    </row>
    <row r="18" spans="1:71" ht="15.75" customHeight="1" x14ac:dyDescent="0.35">
      <c r="A18" s="29" t="s">
        <v>88</v>
      </c>
      <c r="B18" s="29"/>
      <c r="C18" s="29"/>
      <c r="D18" s="29"/>
      <c r="E18" s="29"/>
      <c r="F18" s="29"/>
      <c r="G18" s="29"/>
      <c r="H18" s="23"/>
      <c r="I18" s="27"/>
      <c r="J18" s="27"/>
      <c r="K18" s="14"/>
      <c r="L18" s="12" t="s">
        <v>89</v>
      </c>
      <c r="M18" s="13">
        <v>2</v>
      </c>
      <c r="BD18" s="17"/>
      <c r="BE18" s="17"/>
      <c r="BF18" s="17"/>
      <c r="BG18" s="17"/>
      <c r="BH18" s="17"/>
      <c r="BI18" s="17"/>
      <c r="BJ18" s="17"/>
      <c r="BK18" s="17"/>
      <c r="BL18" s="17"/>
      <c r="BM18" s="17"/>
      <c r="BN18" s="17"/>
      <c r="BO18" s="17"/>
      <c r="BP18" s="17"/>
      <c r="BQ18" s="17"/>
      <c r="BR18" s="17"/>
      <c r="BS18" s="17"/>
    </row>
    <row r="19" spans="1:71" ht="15.75" customHeight="1" x14ac:dyDescent="0.35">
      <c r="A19" s="28" t="s">
        <v>90</v>
      </c>
      <c r="B19" s="29"/>
      <c r="C19" s="29"/>
      <c r="D19" s="129">
        <v>5.8400000000000001E-2</v>
      </c>
      <c r="E19" s="37"/>
      <c r="F19" s="37"/>
      <c r="G19" s="29"/>
      <c r="H19" s="23"/>
      <c r="I19" s="27"/>
      <c r="J19" s="27"/>
      <c r="K19" s="14"/>
      <c r="L19" s="12" t="s">
        <v>91</v>
      </c>
      <c r="M19" s="13">
        <v>3</v>
      </c>
      <c r="BD19" s="17"/>
      <c r="BE19" s="17"/>
      <c r="BF19" s="17"/>
      <c r="BG19" s="17"/>
      <c r="BH19" s="17"/>
      <c r="BI19" s="17"/>
      <c r="BJ19" s="17"/>
      <c r="BK19" s="17"/>
      <c r="BL19" s="17"/>
      <c r="BM19" s="17"/>
      <c r="BN19" s="17"/>
      <c r="BO19" s="17"/>
      <c r="BP19" s="17"/>
      <c r="BQ19" s="17"/>
      <c r="BR19" s="17"/>
      <c r="BS19" s="17"/>
    </row>
    <row r="20" spans="1:71" s="36" customFormat="1" ht="15.5" customHeight="1" x14ac:dyDescent="0.35">
      <c r="A20" s="14" t="s">
        <v>92</v>
      </c>
      <c r="B20" s="27"/>
      <c r="C20" s="27"/>
      <c r="D20" s="27"/>
      <c r="E20" s="38"/>
      <c r="F20" s="27"/>
      <c r="G20" s="27"/>
      <c r="H20" s="23"/>
      <c r="I20" s="27"/>
      <c r="J20" s="27"/>
      <c r="K20" s="14"/>
      <c r="L20" s="14" t="s">
        <v>93</v>
      </c>
      <c r="M20" s="13">
        <v>4</v>
      </c>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row>
    <row r="21" spans="1:71" ht="15.5" customHeight="1" x14ac:dyDescent="0.35">
      <c r="A21" s="35" t="s">
        <v>94</v>
      </c>
      <c r="B21" s="27"/>
      <c r="C21" s="27"/>
      <c r="D21" s="27"/>
      <c r="E21" s="27"/>
      <c r="F21" s="27"/>
      <c r="G21" s="27"/>
      <c r="I21" s="27"/>
      <c r="J21" s="27"/>
      <c r="K21" s="14"/>
      <c r="L21" s="12" t="s">
        <v>95</v>
      </c>
      <c r="M21" s="13">
        <v>5</v>
      </c>
    </row>
    <row r="22" spans="1:71" ht="15.5" customHeight="1" x14ac:dyDescent="0.35">
      <c r="A22" s="35"/>
      <c r="B22" s="27"/>
      <c r="C22" s="27"/>
      <c r="D22" s="27"/>
      <c r="E22" s="27"/>
      <c r="F22" s="27"/>
      <c r="G22" s="27"/>
      <c r="I22" s="39"/>
      <c r="J22" s="39"/>
      <c r="K22" s="14"/>
      <c r="L22" s="12" t="s">
        <v>96</v>
      </c>
      <c r="M22" s="31">
        <v>6</v>
      </c>
    </row>
    <row r="23" spans="1:71" ht="15.75" customHeight="1" x14ac:dyDescent="0.35">
      <c r="A23" s="27"/>
      <c r="B23" s="27"/>
      <c r="C23" s="27"/>
      <c r="D23" s="40" t="s">
        <v>97</v>
      </c>
      <c r="G23" s="27"/>
      <c r="H23" s="27"/>
      <c r="L23" s="41"/>
      <c r="M23" s="42"/>
    </row>
    <row r="24" spans="1:71" ht="15.75" customHeight="1" x14ac:dyDescent="0.35">
      <c r="A24" s="27"/>
      <c r="B24" s="27"/>
      <c r="C24" s="27"/>
      <c r="D24" s="43" t="s">
        <v>98</v>
      </c>
      <c r="E24" s="44"/>
      <c r="G24" s="27"/>
      <c r="H24" s="27"/>
      <c r="L24" s="12" t="s">
        <v>63</v>
      </c>
      <c r="M24" s="13" t="s">
        <v>61</v>
      </c>
    </row>
    <row r="25" spans="1:71" ht="15.75" customHeight="1" x14ac:dyDescent="0.35">
      <c r="A25" s="6">
        <v>3</v>
      </c>
      <c r="B25" s="45"/>
      <c r="C25" s="27" t="s">
        <v>99</v>
      </c>
      <c r="D25" s="141">
        <v>6.14</v>
      </c>
      <c r="E25" s="44"/>
      <c r="F25" s="144"/>
      <c r="G25" s="27"/>
      <c r="H25" s="27"/>
      <c r="L25" s="41" t="s">
        <v>100</v>
      </c>
      <c r="M25" s="13">
        <v>1</v>
      </c>
    </row>
    <row r="26" spans="1:71" ht="15.75" customHeight="1" x14ac:dyDescent="0.35">
      <c r="A26" s="6">
        <v>6</v>
      </c>
      <c r="C26" s="27" t="s">
        <v>101</v>
      </c>
      <c r="D26" s="142">
        <v>6.24</v>
      </c>
      <c r="E26" s="44"/>
      <c r="F26" s="145"/>
      <c r="G26" s="27"/>
      <c r="H26" s="27"/>
      <c r="L26" s="41" t="s">
        <v>102</v>
      </c>
      <c r="M26" s="13">
        <v>2</v>
      </c>
    </row>
    <row r="27" spans="1:71" ht="15.75" customHeight="1" x14ac:dyDescent="0.35">
      <c r="A27" s="6">
        <v>9</v>
      </c>
      <c r="C27" s="27" t="s">
        <v>103</v>
      </c>
      <c r="D27" s="142">
        <v>6.05</v>
      </c>
      <c r="E27" s="44"/>
      <c r="F27" s="145"/>
      <c r="G27" s="27"/>
      <c r="H27" s="27"/>
      <c r="L27" s="41" t="s">
        <v>104</v>
      </c>
      <c r="M27" s="13">
        <v>3</v>
      </c>
    </row>
    <row r="28" spans="1:71" ht="15.75" customHeight="1" x14ac:dyDescent="0.35">
      <c r="A28" s="6">
        <v>12</v>
      </c>
      <c r="C28" s="27" t="s">
        <v>105</v>
      </c>
      <c r="D28" s="142">
        <v>5.59</v>
      </c>
      <c r="E28" s="44"/>
      <c r="F28" s="145"/>
      <c r="G28" s="27"/>
      <c r="H28" s="27"/>
      <c r="L28" s="41" t="s">
        <v>106</v>
      </c>
      <c r="M28" s="13">
        <v>4</v>
      </c>
    </row>
    <row r="29" spans="1:71" ht="15.75" customHeight="1" x14ac:dyDescent="0.35">
      <c r="A29" s="6">
        <v>24</v>
      </c>
      <c r="C29" s="27" t="s">
        <v>107</v>
      </c>
      <c r="D29" s="143">
        <v>4.26</v>
      </c>
      <c r="E29" s="44"/>
      <c r="F29" s="146"/>
      <c r="G29" s="27"/>
      <c r="H29" s="27"/>
      <c r="L29" s="41" t="s">
        <v>108</v>
      </c>
      <c r="M29" s="13">
        <v>5</v>
      </c>
    </row>
    <row r="30" spans="1:71" ht="15.75" customHeight="1" x14ac:dyDescent="0.35">
      <c r="A30" s="6">
        <v>60</v>
      </c>
      <c r="C30" s="27" t="s">
        <v>109</v>
      </c>
      <c r="D30" s="143">
        <v>3</v>
      </c>
      <c r="E30" s="44"/>
      <c r="F30" s="146"/>
      <c r="H30" s="27"/>
      <c r="I30" s="27"/>
      <c r="J30" s="27"/>
      <c r="K30" s="14"/>
      <c r="L30" s="41" t="s">
        <v>110</v>
      </c>
      <c r="M30" s="13">
        <v>6</v>
      </c>
    </row>
    <row r="31" spans="1:71" ht="15.5" customHeight="1" x14ac:dyDescent="0.35">
      <c r="A31" s="27"/>
      <c r="B31" s="27"/>
      <c r="C31" s="27"/>
      <c r="I31" s="27"/>
      <c r="J31" s="27"/>
      <c r="K31" s="14"/>
      <c r="L31" s="41" t="s">
        <v>111</v>
      </c>
      <c r="M31" s="13">
        <v>7</v>
      </c>
    </row>
    <row r="32" spans="1:71" ht="15.5" customHeight="1" x14ac:dyDescent="0.35">
      <c r="A32" s="35" t="s">
        <v>112</v>
      </c>
      <c r="B32" s="27"/>
      <c r="C32" s="27"/>
      <c r="D32" s="27"/>
      <c r="E32" s="27"/>
      <c r="G32" s="27"/>
      <c r="H32" s="27"/>
      <c r="I32" s="27"/>
      <c r="J32" s="27"/>
      <c r="K32" s="14"/>
      <c r="L32" s="41" t="s">
        <v>113</v>
      </c>
      <c r="M32" s="13">
        <v>8</v>
      </c>
    </row>
    <row r="33" spans="1:11" ht="15.5" customHeight="1" x14ac:dyDescent="0.35">
      <c r="A33" s="35"/>
      <c r="B33" s="27"/>
      <c r="C33" s="27"/>
      <c r="D33" s="27"/>
      <c r="E33" s="27"/>
      <c r="H33" s="27"/>
      <c r="I33" s="27"/>
      <c r="J33" s="27"/>
      <c r="K33" s="14"/>
    </row>
    <row r="34" spans="1:11" ht="15.5" customHeight="1" x14ac:dyDescent="0.35">
      <c r="A34" s="35"/>
      <c r="B34" s="27"/>
      <c r="C34" s="27"/>
      <c r="D34" s="47" t="s">
        <v>114</v>
      </c>
      <c r="E34" s="40" t="s">
        <v>115</v>
      </c>
      <c r="G34" s="27"/>
      <c r="I34" s="27"/>
      <c r="J34" s="27"/>
      <c r="K34" s="14"/>
    </row>
    <row r="35" spans="1:11" ht="15.5" customHeight="1" x14ac:dyDescent="0.35">
      <c r="A35" s="35"/>
      <c r="C35" s="27" t="s">
        <v>116</v>
      </c>
      <c r="D35" s="142">
        <v>6.27</v>
      </c>
      <c r="E35" s="46"/>
      <c r="F35" s="48"/>
      <c r="G35"/>
      <c r="H35"/>
      <c r="I35"/>
      <c r="J35" s="27"/>
      <c r="K35" s="14"/>
    </row>
    <row r="36" spans="1:11" ht="15.5" customHeight="1" x14ac:dyDescent="0.35">
      <c r="A36" s="35"/>
      <c r="C36" s="27" t="s">
        <v>117</v>
      </c>
      <c r="D36" s="142">
        <v>7.41</v>
      </c>
      <c r="E36" s="49"/>
      <c r="G36"/>
      <c r="H36"/>
      <c r="I36"/>
      <c r="J36" s="27"/>
      <c r="K36" s="14"/>
    </row>
    <row r="37" spans="1:11" ht="15.5" customHeight="1" x14ac:dyDescent="0.35">
      <c r="A37" s="35"/>
      <c r="C37" s="27"/>
      <c r="D37" s="23"/>
      <c r="G37"/>
      <c r="H37"/>
      <c r="I37"/>
      <c r="J37" s="27"/>
      <c r="K37" s="14"/>
    </row>
    <row r="38" spans="1:11" ht="15.5" customHeight="1" x14ac:dyDescent="0.35">
      <c r="A38" s="28" t="s">
        <v>118</v>
      </c>
      <c r="B38" s="29"/>
      <c r="C38" s="29"/>
      <c r="D38" s="27"/>
      <c r="E38" s="27"/>
      <c r="F38" s="27"/>
      <c r="G38"/>
      <c r="H38"/>
      <c r="I38"/>
      <c r="J38" s="27"/>
      <c r="K38" s="14"/>
    </row>
    <row r="39" spans="1:11" ht="15.5" customHeight="1" x14ac:dyDescent="0.35">
      <c r="A39" s="35"/>
      <c r="B39" s="27"/>
      <c r="C39" s="27"/>
      <c r="D39" s="27"/>
      <c r="E39" s="27"/>
      <c r="F39" s="27"/>
      <c r="G39"/>
      <c r="H39"/>
      <c r="I39"/>
      <c r="J39" s="27"/>
      <c r="K39" s="14"/>
    </row>
    <row r="40" spans="1:11" ht="15.5" customHeight="1" x14ac:dyDescent="0.35">
      <c r="A40" s="35" t="s">
        <v>119</v>
      </c>
      <c r="B40" s="27"/>
      <c r="C40" s="27"/>
      <c r="D40" s="27"/>
      <c r="E40" s="27"/>
      <c r="F40" s="27"/>
      <c r="G40" s="27"/>
      <c r="H40" s="27"/>
      <c r="I40" s="27"/>
      <c r="J40" s="27"/>
      <c r="K40" s="14"/>
    </row>
    <row r="41" spans="1:11" ht="15.5" customHeight="1" x14ac:dyDescent="0.35">
      <c r="A41" s="35"/>
      <c r="B41" s="27"/>
      <c r="C41" s="27"/>
      <c r="D41" s="27"/>
      <c r="E41" s="27"/>
      <c r="F41" s="27"/>
      <c r="G41" s="27"/>
      <c r="H41" s="27"/>
      <c r="I41" s="27"/>
      <c r="J41" s="27"/>
      <c r="K41" s="14"/>
    </row>
    <row r="42" spans="1:11" ht="15.5" customHeight="1" x14ac:dyDescent="0.35">
      <c r="A42" s="27"/>
      <c r="B42" s="27"/>
      <c r="C42" s="27"/>
      <c r="D42" s="50" t="s">
        <v>120</v>
      </c>
      <c r="E42" s="51"/>
      <c r="F42" s="51"/>
      <c r="G42" s="51"/>
      <c r="I42" s="51"/>
      <c r="J42" s="51"/>
      <c r="K42" s="14"/>
    </row>
    <row r="43" spans="1:11" ht="15.5" customHeight="1" x14ac:dyDescent="0.35">
      <c r="A43" s="35"/>
      <c r="B43" s="27"/>
      <c r="C43" s="27"/>
      <c r="D43" s="52" t="s">
        <v>121</v>
      </c>
      <c r="E43" s="52"/>
      <c r="F43" s="52"/>
      <c r="G43" s="53"/>
      <c r="I43" s="27"/>
      <c r="J43" s="27"/>
      <c r="K43" s="14"/>
    </row>
    <row r="44" spans="1:11" ht="15.5" customHeight="1" x14ac:dyDescent="0.35">
      <c r="A44" s="35"/>
      <c r="B44" s="27"/>
      <c r="C44" s="27"/>
      <c r="D44" s="43" t="s">
        <v>122</v>
      </c>
      <c r="E44" s="43" t="s">
        <v>123</v>
      </c>
      <c r="F44" s="43" t="s">
        <v>124</v>
      </c>
      <c r="G44" s="54" t="s">
        <v>125</v>
      </c>
      <c r="I44" s="27"/>
      <c r="J44" s="27"/>
      <c r="K44" s="14"/>
    </row>
    <row r="45" spans="1:11" ht="15.5" customHeight="1" x14ac:dyDescent="0.35">
      <c r="A45" s="35"/>
      <c r="B45" s="27"/>
      <c r="C45" s="27"/>
      <c r="D45" s="55"/>
      <c r="E45" s="56"/>
      <c r="F45" s="56" t="s">
        <v>126</v>
      </c>
      <c r="G45" s="57" t="s">
        <v>127</v>
      </c>
      <c r="I45" s="27"/>
      <c r="J45" s="27"/>
      <c r="K45" s="14"/>
    </row>
    <row r="46" spans="1:11" ht="15.5" customHeight="1" x14ac:dyDescent="0.35">
      <c r="A46" s="27"/>
      <c r="C46" s="27" t="s">
        <v>128</v>
      </c>
      <c r="D46" s="58"/>
      <c r="E46" s="58"/>
      <c r="F46" s="58"/>
      <c r="G46" s="59" t="s">
        <v>92</v>
      </c>
      <c r="H46" s="60"/>
      <c r="I46" s="27"/>
      <c r="J46" s="27"/>
      <c r="K46" s="14"/>
    </row>
    <row r="47" spans="1:11" ht="15.5" customHeight="1" x14ac:dyDescent="0.35">
      <c r="A47" s="27"/>
      <c r="B47" s="27"/>
      <c r="C47" s="27"/>
      <c r="D47" s="27"/>
      <c r="E47" s="51"/>
      <c r="F47" s="23"/>
      <c r="G47" s="23"/>
      <c r="H47" s="23"/>
      <c r="I47" s="27"/>
      <c r="J47" s="27"/>
      <c r="K47" s="14"/>
    </row>
    <row r="48" spans="1:11" ht="15.5" customHeight="1" x14ac:dyDescent="0.35">
      <c r="A48" s="27" t="s">
        <v>129</v>
      </c>
      <c r="B48" s="27"/>
      <c r="C48" s="27"/>
      <c r="D48" s="27"/>
      <c r="E48" s="27"/>
      <c r="F48" s="27"/>
      <c r="G48" s="27"/>
      <c r="H48" s="27"/>
      <c r="I48" s="27"/>
      <c r="J48" s="27"/>
      <c r="K48" s="14"/>
    </row>
    <row r="49" spans="1:11" ht="15.5" customHeight="1" x14ac:dyDescent="0.35">
      <c r="A49" s="27"/>
      <c r="B49" s="27"/>
      <c r="C49" s="27"/>
      <c r="D49" s="27"/>
      <c r="E49" s="27"/>
      <c r="F49" s="27"/>
      <c r="G49" s="27"/>
      <c r="H49" s="27"/>
      <c r="I49" s="27"/>
      <c r="J49" s="27"/>
      <c r="K49" s="14"/>
    </row>
    <row r="50" spans="1:11" ht="15.5" customHeight="1" x14ac:dyDescent="0.35">
      <c r="A50" s="27"/>
      <c r="B50" s="27"/>
      <c r="C50" s="27"/>
      <c r="D50" s="50" t="s">
        <v>120</v>
      </c>
      <c r="E50" s="51"/>
      <c r="F50" s="51"/>
      <c r="G50" s="51"/>
      <c r="I50" s="27"/>
      <c r="J50" s="27"/>
      <c r="K50" s="14"/>
    </row>
    <row r="51" spans="1:11" ht="15.5" customHeight="1" x14ac:dyDescent="0.35">
      <c r="A51" s="27"/>
      <c r="B51" s="27"/>
      <c r="C51" s="27"/>
      <c r="D51" s="61" t="s">
        <v>121</v>
      </c>
      <c r="E51" s="62"/>
      <c r="F51" s="52"/>
      <c r="G51" s="53"/>
      <c r="I51" s="27"/>
      <c r="J51" s="27"/>
      <c r="K51" s="14"/>
    </row>
    <row r="52" spans="1:11" ht="15.5" customHeight="1" x14ac:dyDescent="0.35">
      <c r="A52" s="35"/>
      <c r="B52" s="27"/>
      <c r="C52" s="27"/>
      <c r="D52" s="63" t="s">
        <v>130</v>
      </c>
      <c r="E52" s="43" t="s">
        <v>131</v>
      </c>
      <c r="F52" s="43" t="s">
        <v>132</v>
      </c>
      <c r="G52" s="54" t="s">
        <v>125</v>
      </c>
      <c r="I52" s="27"/>
      <c r="J52" s="27"/>
      <c r="K52" s="14"/>
    </row>
    <row r="53" spans="1:11" ht="15.5" customHeight="1" x14ac:dyDescent="0.35">
      <c r="A53" s="27"/>
      <c r="B53" s="27"/>
      <c r="C53" s="27"/>
      <c r="D53" s="63" t="s">
        <v>133</v>
      </c>
      <c r="E53" s="43" t="s">
        <v>133</v>
      </c>
      <c r="F53" s="43" t="s">
        <v>134</v>
      </c>
      <c r="G53" s="64" t="s">
        <v>127</v>
      </c>
      <c r="I53" s="27"/>
      <c r="J53" s="27"/>
      <c r="K53" s="14"/>
    </row>
    <row r="54" spans="1:11" ht="15.5" customHeight="1" x14ac:dyDescent="0.35">
      <c r="A54" s="27"/>
      <c r="C54" s="27" t="s">
        <v>135</v>
      </c>
      <c r="D54" s="65"/>
      <c r="E54" s="46"/>
      <c r="F54" s="46"/>
      <c r="G54" s="66" t="s">
        <v>92</v>
      </c>
      <c r="H54" s="60"/>
      <c r="I54" s="27"/>
      <c r="J54" s="27"/>
      <c r="K54" s="14"/>
    </row>
    <row r="55" spans="1:11" ht="15.5" customHeight="1" x14ac:dyDescent="0.35">
      <c r="A55" s="27"/>
      <c r="C55" s="27"/>
      <c r="D55" s="23"/>
      <c r="E55" s="23"/>
      <c r="F55" s="23"/>
      <c r="G55" s="23"/>
      <c r="I55" s="27"/>
      <c r="J55" s="27"/>
      <c r="K55" s="14"/>
    </row>
    <row r="56" spans="1:11" ht="15.5" customHeight="1" x14ac:dyDescent="0.35">
      <c r="A56" s="28" t="s">
        <v>136</v>
      </c>
      <c r="B56" s="29"/>
      <c r="C56" s="29"/>
      <c r="D56" s="29"/>
      <c r="E56" s="29"/>
      <c r="F56" s="29"/>
      <c r="G56" s="29"/>
      <c r="H56" s="27"/>
      <c r="I56" s="27"/>
      <c r="J56" s="27"/>
      <c r="K56" s="14"/>
    </row>
    <row r="57" spans="1:11" ht="15.5" customHeight="1" x14ac:dyDescent="0.35">
      <c r="A57" s="29" t="s">
        <v>137</v>
      </c>
      <c r="B57" s="29"/>
      <c r="C57" s="29"/>
      <c r="D57" s="29"/>
      <c r="E57" s="29"/>
      <c r="F57" s="29"/>
      <c r="G57" s="29"/>
      <c r="H57" s="27"/>
      <c r="I57" s="27"/>
      <c r="J57" s="27"/>
      <c r="K57" s="14"/>
    </row>
    <row r="58" spans="1:11" ht="15.5" customHeight="1" x14ac:dyDescent="0.35">
      <c r="A58" s="29" t="s">
        <v>138</v>
      </c>
      <c r="B58" s="29"/>
      <c r="C58" s="29"/>
      <c r="D58" s="67" t="s">
        <v>139</v>
      </c>
      <c r="E58" s="68"/>
      <c r="F58" s="68"/>
      <c r="G58" s="129">
        <v>0.1215</v>
      </c>
      <c r="H58" s="27"/>
      <c r="I58" s="27"/>
      <c r="J58" s="27"/>
      <c r="K58" s="14"/>
    </row>
    <row r="59" spans="1:11" ht="15.5" customHeight="1" x14ac:dyDescent="0.35">
      <c r="A59" s="35"/>
      <c r="B59" s="27"/>
      <c r="C59" s="27"/>
      <c r="D59" s="27"/>
      <c r="E59" s="27"/>
      <c r="F59" s="69"/>
      <c r="G59" s="38"/>
      <c r="H59" s="27"/>
      <c r="I59" s="27"/>
      <c r="J59" s="27"/>
      <c r="K59" s="14"/>
    </row>
    <row r="60" spans="1:11" ht="18.5" customHeight="1" x14ac:dyDescent="0.35">
      <c r="A60" s="35" t="s">
        <v>140</v>
      </c>
      <c r="B60" s="27"/>
      <c r="C60" s="27"/>
      <c r="D60" s="27"/>
      <c r="E60" s="27"/>
      <c r="F60" s="27"/>
      <c r="G60" s="27"/>
      <c r="H60" s="69"/>
      <c r="I60" s="27"/>
      <c r="J60" s="27"/>
      <c r="K60" s="14"/>
    </row>
    <row r="61" spans="1:11" ht="15.5" customHeight="1" x14ac:dyDescent="0.35">
      <c r="A61" s="27"/>
      <c r="B61" s="27"/>
      <c r="C61" s="27"/>
      <c r="D61" s="27"/>
      <c r="E61" s="27"/>
      <c r="F61" s="27"/>
      <c r="G61" s="27"/>
      <c r="H61" s="27"/>
      <c r="I61" s="27"/>
      <c r="J61" s="27"/>
      <c r="K61" s="14"/>
    </row>
    <row r="62" spans="1:11" ht="15.5" customHeight="1" x14ac:dyDescent="0.35">
      <c r="A62" s="27"/>
      <c r="B62" s="27"/>
      <c r="C62" s="27"/>
      <c r="D62" s="51"/>
      <c r="E62" s="51"/>
      <c r="F62" s="51"/>
      <c r="I62" s="27"/>
      <c r="J62" s="27"/>
      <c r="K62" s="14"/>
    </row>
    <row r="63" spans="1:11" ht="15.5" customHeight="1" x14ac:dyDescent="0.35">
      <c r="A63" s="27"/>
      <c r="B63" s="27"/>
      <c r="C63" s="27"/>
      <c r="D63" s="40" t="s">
        <v>141</v>
      </c>
      <c r="E63" s="50"/>
      <c r="G63" s="27"/>
      <c r="H63" s="27"/>
    </row>
    <row r="64" spans="1:11" ht="15.5" customHeight="1" x14ac:dyDescent="0.35">
      <c r="A64" s="27"/>
      <c r="B64" s="27"/>
      <c r="C64" s="27"/>
      <c r="D64" s="56" t="s">
        <v>142</v>
      </c>
      <c r="E64" s="70"/>
      <c r="G64" s="27"/>
      <c r="H64" s="27"/>
    </row>
    <row r="65" spans="1:11" ht="15.5" customHeight="1" x14ac:dyDescent="0.35">
      <c r="A65" s="27"/>
      <c r="C65" s="27" t="s">
        <v>99</v>
      </c>
      <c r="D65" s="142">
        <v>12.05</v>
      </c>
      <c r="E65" s="71"/>
      <c r="G65" s="27"/>
      <c r="H65" s="27"/>
    </row>
    <row r="66" spans="1:11" ht="15.5" customHeight="1" x14ac:dyDescent="0.35">
      <c r="A66" s="27"/>
      <c r="C66" s="27" t="s">
        <v>101</v>
      </c>
      <c r="D66" s="142">
        <v>12.05</v>
      </c>
      <c r="E66" s="71"/>
      <c r="G66" s="27"/>
      <c r="H66" s="27"/>
    </row>
    <row r="67" spans="1:11" ht="15.5" customHeight="1" x14ac:dyDescent="0.35">
      <c r="A67" s="27"/>
      <c r="C67" s="27" t="s">
        <v>103</v>
      </c>
      <c r="D67" s="142">
        <v>12.05</v>
      </c>
      <c r="E67" s="71"/>
      <c r="G67" s="27"/>
      <c r="H67" s="27"/>
    </row>
    <row r="68" spans="1:11" ht="15.5" customHeight="1" x14ac:dyDescent="0.35">
      <c r="A68" s="27"/>
      <c r="C68" s="27" t="s">
        <v>105</v>
      </c>
      <c r="D68" s="142">
        <v>11.84</v>
      </c>
      <c r="E68" s="71"/>
      <c r="G68" s="27"/>
      <c r="H68" s="27"/>
    </row>
    <row r="69" spans="1:11" ht="15.5" customHeight="1" x14ac:dyDescent="0.35">
      <c r="A69" s="35"/>
      <c r="B69" s="27"/>
      <c r="C69" s="27"/>
      <c r="D69" s="27"/>
      <c r="E69" s="27"/>
      <c r="F69" s="27"/>
      <c r="G69" s="27"/>
      <c r="H69" s="27"/>
      <c r="I69" s="27"/>
      <c r="J69" s="27"/>
      <c r="K69" s="14"/>
    </row>
    <row r="70" spans="1:11" ht="15.5" customHeight="1" x14ac:dyDescent="0.35">
      <c r="A70" s="35" t="s">
        <v>143</v>
      </c>
      <c r="B70" s="27"/>
      <c r="C70" s="27"/>
      <c r="D70" s="27"/>
      <c r="E70" s="27"/>
      <c r="F70" s="27"/>
      <c r="G70" s="27"/>
      <c r="H70" s="27"/>
      <c r="I70" s="27"/>
      <c r="J70" s="27"/>
      <c r="K70" s="14"/>
    </row>
    <row r="71" spans="1:11" ht="15.5" customHeight="1" x14ac:dyDescent="0.35">
      <c r="A71" s="27"/>
      <c r="B71" s="27"/>
      <c r="C71" s="27"/>
      <c r="D71" s="27"/>
      <c r="E71" s="27"/>
      <c r="F71" s="27"/>
      <c r="G71" s="27"/>
      <c r="H71" s="27"/>
      <c r="I71" s="27"/>
      <c r="J71" s="27"/>
      <c r="K71" s="14"/>
    </row>
    <row r="72" spans="1:11" ht="15.5" customHeight="1" x14ac:dyDescent="0.35">
      <c r="A72" s="27"/>
      <c r="B72" s="27"/>
      <c r="C72" s="27"/>
      <c r="D72" s="72" t="s">
        <v>144</v>
      </c>
      <c r="E72" s="27"/>
      <c r="F72" s="27"/>
    </row>
    <row r="73" spans="1:11" ht="15.5" customHeight="1" x14ac:dyDescent="0.35">
      <c r="A73" s="27"/>
      <c r="B73" s="27"/>
      <c r="C73" s="27"/>
      <c r="D73" s="73" t="s">
        <v>145</v>
      </c>
      <c r="E73" s="27"/>
      <c r="F73" s="27"/>
    </row>
    <row r="74" spans="1:11" ht="15.5" customHeight="1" x14ac:dyDescent="0.35">
      <c r="A74" s="27"/>
      <c r="C74" s="27" t="s">
        <v>99</v>
      </c>
      <c r="D74" s="58">
        <v>3400</v>
      </c>
      <c r="E74" s="71"/>
      <c r="F74" s="27"/>
    </row>
    <row r="75" spans="1:11" ht="15.5" customHeight="1" x14ac:dyDescent="0.35">
      <c r="A75" s="27"/>
      <c r="C75" s="27" t="s">
        <v>101</v>
      </c>
      <c r="D75" s="46">
        <v>3500</v>
      </c>
      <c r="E75" s="71"/>
      <c r="F75" s="27"/>
    </row>
    <row r="76" spans="1:11" ht="15.5" customHeight="1" x14ac:dyDescent="0.35">
      <c r="A76" s="27"/>
      <c r="C76" s="27" t="s">
        <v>103</v>
      </c>
      <c r="D76" s="46">
        <v>3550</v>
      </c>
      <c r="E76" s="71"/>
      <c r="F76" s="27"/>
    </row>
    <row r="77" spans="1:11" ht="15.5" customHeight="1" x14ac:dyDescent="0.35">
      <c r="A77" s="27"/>
      <c r="C77" s="27" t="s">
        <v>105</v>
      </c>
      <c r="D77" s="46">
        <v>3600</v>
      </c>
      <c r="E77" s="71"/>
      <c r="F77" s="27"/>
    </row>
    <row r="78" spans="1:11" ht="15.5" customHeight="1" x14ac:dyDescent="0.35">
      <c r="A78" s="27"/>
      <c r="B78" s="27"/>
      <c r="C78" s="27"/>
      <c r="D78" s="27"/>
      <c r="E78" s="27"/>
      <c r="F78" s="27"/>
      <c r="G78" s="27"/>
      <c r="I78" s="27"/>
      <c r="J78" s="27"/>
      <c r="K78" s="14"/>
    </row>
    <row r="79" spans="1:11" ht="15.5" customHeight="1" x14ac:dyDescent="0.35">
      <c r="A79" s="28" t="s">
        <v>146</v>
      </c>
      <c r="B79" s="29"/>
      <c r="C79" s="29"/>
      <c r="D79" s="29"/>
      <c r="E79" s="29"/>
      <c r="F79" s="29"/>
      <c r="G79" s="29"/>
      <c r="I79" s="27"/>
      <c r="J79" s="27"/>
      <c r="K79" s="14"/>
    </row>
    <row r="80" spans="1:11" ht="15.5" customHeight="1" x14ac:dyDescent="0.35">
      <c r="A80" s="29" t="s">
        <v>147</v>
      </c>
      <c r="B80" s="29"/>
      <c r="C80" s="29"/>
      <c r="D80" s="29"/>
      <c r="E80" s="29"/>
      <c r="F80" s="29"/>
      <c r="G80" s="29"/>
      <c r="I80" s="27"/>
      <c r="J80" s="27"/>
      <c r="K80" s="14"/>
    </row>
    <row r="81" spans="1:11" ht="15.5" customHeight="1" x14ac:dyDescent="0.35">
      <c r="A81" s="29" t="s">
        <v>148</v>
      </c>
      <c r="B81" s="29"/>
      <c r="C81" s="29"/>
      <c r="D81" s="29"/>
      <c r="E81" s="29"/>
      <c r="F81" s="29"/>
      <c r="G81" s="29"/>
      <c r="I81" s="27"/>
      <c r="J81" s="27"/>
      <c r="K81" s="14"/>
    </row>
    <row r="82" spans="1:11" ht="15.5" customHeight="1" x14ac:dyDescent="0.35">
      <c r="A82" s="35"/>
      <c r="B82" s="27"/>
      <c r="C82" s="27"/>
      <c r="D82" s="27"/>
      <c r="E82" s="27"/>
      <c r="F82" s="27"/>
      <c r="G82" s="27"/>
      <c r="I82" s="27"/>
      <c r="J82" s="27"/>
      <c r="K82" s="14"/>
    </row>
    <row r="83" spans="1:11" ht="15.5" customHeight="1" x14ac:dyDescent="0.35">
      <c r="A83" s="35" t="s">
        <v>149</v>
      </c>
      <c r="B83" s="27"/>
      <c r="C83" s="27"/>
      <c r="D83" s="27"/>
      <c r="E83" s="27"/>
      <c r="F83" s="27"/>
      <c r="G83" s="27"/>
      <c r="I83" s="27"/>
      <c r="J83" s="27"/>
      <c r="K83" s="14"/>
    </row>
    <row r="84" spans="1:11" ht="15.5" customHeight="1" x14ac:dyDescent="0.35">
      <c r="A84" s="35"/>
      <c r="B84" s="27"/>
      <c r="C84" s="27"/>
      <c r="D84" s="27"/>
      <c r="E84" s="27"/>
      <c r="F84" s="27"/>
      <c r="G84" s="27"/>
      <c r="H84" s="27"/>
      <c r="I84" s="27"/>
      <c r="J84" s="27"/>
      <c r="K84" s="14"/>
    </row>
    <row r="85" spans="1:11" ht="15.5" customHeight="1" x14ac:dyDescent="0.35">
      <c r="A85" s="27"/>
      <c r="B85" s="27"/>
      <c r="C85" s="27"/>
      <c r="D85" s="40" t="s">
        <v>150</v>
      </c>
      <c r="G85" s="27"/>
      <c r="H85" s="27"/>
    </row>
    <row r="86" spans="1:11" ht="15.5" customHeight="1" x14ac:dyDescent="0.35">
      <c r="A86" s="27"/>
      <c r="B86" s="27"/>
      <c r="C86" s="27"/>
      <c r="D86" s="56" t="s">
        <v>151</v>
      </c>
      <c r="G86" s="27"/>
      <c r="H86" s="27"/>
    </row>
    <row r="87" spans="1:11" ht="15.5" customHeight="1" x14ac:dyDescent="0.35">
      <c r="A87" s="27"/>
      <c r="C87" s="27" t="s">
        <v>116</v>
      </c>
      <c r="D87" s="140">
        <v>2.5</v>
      </c>
      <c r="E87" s="60"/>
      <c r="G87" s="27"/>
      <c r="H87" s="27"/>
    </row>
    <row r="88" spans="1:11" ht="15.5" customHeight="1" x14ac:dyDescent="0.35">
      <c r="A88" s="27"/>
      <c r="C88" s="27" t="s">
        <v>117</v>
      </c>
      <c r="D88" s="147">
        <v>3</v>
      </c>
      <c r="E88" s="60"/>
      <c r="G88" s="27"/>
      <c r="H88" s="27"/>
    </row>
    <row r="89" spans="1:11" ht="15.5" customHeight="1" x14ac:dyDescent="0.35">
      <c r="A89" s="35"/>
      <c r="B89" s="27"/>
      <c r="C89" s="27"/>
      <c r="D89" s="27"/>
      <c r="E89" s="27"/>
      <c r="F89" s="27"/>
      <c r="G89" s="27"/>
      <c r="H89" s="27"/>
      <c r="I89" s="27"/>
      <c r="J89" s="27"/>
      <c r="K89" s="14"/>
    </row>
    <row r="90" spans="1:11" ht="15.5" customHeight="1" x14ac:dyDescent="0.35">
      <c r="A90" s="35" t="s">
        <v>152</v>
      </c>
      <c r="B90" s="27"/>
      <c r="C90" s="27"/>
      <c r="D90" s="27"/>
      <c r="E90" s="27"/>
      <c r="F90" s="27"/>
      <c r="G90" s="27"/>
      <c r="H90" s="27"/>
      <c r="I90" s="27"/>
      <c r="J90" s="27"/>
      <c r="K90" s="14"/>
    </row>
    <row r="91" spans="1:11" ht="15.5" customHeight="1" x14ac:dyDescent="0.35">
      <c r="A91" s="27"/>
      <c r="B91" s="27"/>
      <c r="C91" s="27"/>
      <c r="D91" s="27"/>
      <c r="E91" s="27"/>
      <c r="F91" s="27"/>
      <c r="G91" s="27"/>
      <c r="H91" s="27"/>
      <c r="I91" s="27"/>
      <c r="J91" s="27"/>
      <c r="K91" s="14"/>
    </row>
    <row r="92" spans="1:11" ht="15.5" customHeight="1" x14ac:dyDescent="0.35">
      <c r="A92" s="27"/>
      <c r="B92" s="27"/>
      <c r="C92" s="27"/>
      <c r="D92" s="50" t="s">
        <v>153</v>
      </c>
      <c r="E92" s="51"/>
      <c r="F92" s="51"/>
      <c r="G92" s="51"/>
      <c r="I92" s="27"/>
      <c r="J92" s="27"/>
      <c r="K92" s="14"/>
    </row>
    <row r="93" spans="1:11" ht="15.5" customHeight="1" x14ac:dyDescent="0.35">
      <c r="A93" s="27"/>
      <c r="B93" s="27"/>
      <c r="C93" s="27"/>
      <c r="D93" s="74" t="s">
        <v>154</v>
      </c>
      <c r="E93" s="74" t="s">
        <v>155</v>
      </c>
      <c r="F93" s="74" t="s">
        <v>156</v>
      </c>
      <c r="G93" s="74" t="s">
        <v>115</v>
      </c>
      <c r="I93" s="27"/>
      <c r="J93" s="27"/>
      <c r="K93" s="14"/>
    </row>
    <row r="94" spans="1:11" ht="15.5" customHeight="1" x14ac:dyDescent="0.35">
      <c r="A94" s="27"/>
      <c r="B94" s="27" t="s">
        <v>157</v>
      </c>
      <c r="C94" s="27"/>
      <c r="D94" s="46"/>
      <c r="E94" s="46"/>
      <c r="F94" s="46" t="s">
        <v>92</v>
      </c>
      <c r="G94" s="46"/>
      <c r="H94" s="60"/>
      <c r="I94" s="27"/>
      <c r="J94" s="27"/>
      <c r="K94" s="14"/>
    </row>
    <row r="95" spans="1:11" ht="15.5" customHeight="1" x14ac:dyDescent="0.35">
      <c r="A95" s="27"/>
      <c r="B95" s="27" t="s">
        <v>158</v>
      </c>
      <c r="C95" s="27"/>
      <c r="D95" s="46"/>
      <c r="E95" s="46"/>
      <c r="F95" s="46" t="s">
        <v>92</v>
      </c>
      <c r="G95" s="46"/>
      <c r="H95" s="60"/>
      <c r="I95" s="27"/>
      <c r="J95" s="27"/>
      <c r="K95" s="14"/>
    </row>
    <row r="96" spans="1:11" ht="15.5" customHeight="1" x14ac:dyDescent="0.35">
      <c r="A96" s="27"/>
      <c r="B96" s="27"/>
      <c r="C96" s="27"/>
      <c r="D96" s="27"/>
      <c r="E96" s="27"/>
      <c r="F96" s="27"/>
      <c r="G96" s="27"/>
      <c r="H96" s="27"/>
      <c r="I96" s="27"/>
      <c r="J96" s="27"/>
      <c r="K96" s="14"/>
    </row>
    <row r="97" spans="1:11" ht="15.5" customHeight="1" x14ac:dyDescent="0.35">
      <c r="A97" s="28" t="s">
        <v>159</v>
      </c>
      <c r="B97" s="29"/>
      <c r="C97" s="29"/>
      <c r="D97" s="27"/>
      <c r="E97" s="27"/>
      <c r="F97" s="27"/>
      <c r="H97" s="27"/>
      <c r="I97" s="27"/>
      <c r="J97" s="27"/>
      <c r="K97" s="14"/>
    </row>
    <row r="98" spans="1:11" ht="15.5" customHeight="1" x14ac:dyDescent="0.35">
      <c r="A98" s="27"/>
      <c r="B98" s="27"/>
      <c r="C98" s="27"/>
      <c r="D98" s="27"/>
      <c r="E98" s="27"/>
      <c r="F98" s="27"/>
      <c r="H98" s="27"/>
      <c r="I98" s="27"/>
      <c r="J98" s="27"/>
      <c r="K98" s="14"/>
    </row>
    <row r="99" spans="1:11" ht="15.5" customHeight="1" x14ac:dyDescent="0.35">
      <c r="A99" s="27" t="s">
        <v>160</v>
      </c>
      <c r="B99" s="27"/>
      <c r="C99" s="27"/>
      <c r="D99" s="27"/>
      <c r="E99" s="27"/>
      <c r="F99" s="27"/>
      <c r="G99" s="27"/>
      <c r="H99" s="27"/>
      <c r="I99" s="27"/>
      <c r="J99" s="27"/>
      <c r="K99" s="14"/>
    </row>
    <row r="100" spans="1:11" ht="15.5" customHeight="1" x14ac:dyDescent="0.35">
      <c r="A100" s="27" t="s">
        <v>161</v>
      </c>
      <c r="B100" s="27"/>
      <c r="C100" s="27"/>
      <c r="D100" s="27"/>
      <c r="E100" s="27"/>
      <c r="F100" s="27"/>
      <c r="G100" s="27"/>
      <c r="H100" s="27"/>
      <c r="I100" s="27"/>
      <c r="J100" s="27"/>
      <c r="K100" s="14"/>
    </row>
    <row r="101" spans="1:11" ht="15.5" customHeight="1" x14ac:dyDescent="0.35">
      <c r="A101" s="35"/>
      <c r="B101" s="75"/>
      <c r="C101" s="76" t="s">
        <v>162</v>
      </c>
      <c r="D101" s="27"/>
      <c r="E101" s="27"/>
      <c r="F101" s="27"/>
      <c r="G101" s="27"/>
      <c r="H101" s="27"/>
      <c r="I101" s="27"/>
      <c r="J101" s="27"/>
      <c r="K101" s="14"/>
    </row>
    <row r="102" spans="1:11" ht="15.5" customHeight="1" x14ac:dyDescent="0.35">
      <c r="A102" s="27"/>
      <c r="B102" s="77"/>
      <c r="C102" s="78" t="s">
        <v>82</v>
      </c>
      <c r="D102" s="27"/>
      <c r="E102" s="27"/>
      <c r="F102" s="27"/>
      <c r="G102" s="27"/>
      <c r="H102" s="27"/>
      <c r="I102" s="27"/>
      <c r="J102" s="27"/>
      <c r="K102" s="14"/>
    </row>
    <row r="103" spans="1:11" ht="15.75" customHeight="1" x14ac:dyDescent="0.35">
      <c r="A103" s="27"/>
      <c r="B103" s="75"/>
      <c r="C103" s="79"/>
      <c r="D103" s="27"/>
      <c r="E103" s="27"/>
      <c r="F103" s="27"/>
      <c r="G103" s="27"/>
      <c r="H103" s="27"/>
      <c r="I103" s="27"/>
      <c r="J103" s="27"/>
      <c r="K103" s="14"/>
    </row>
    <row r="104" spans="1:11" ht="15.75" customHeight="1" x14ac:dyDescent="0.35">
      <c r="A104" s="27" t="s">
        <v>163</v>
      </c>
      <c r="B104" s="27"/>
      <c r="C104" s="27"/>
      <c r="D104" s="27"/>
      <c r="H104" s="27"/>
      <c r="I104" s="27"/>
      <c r="J104" s="27"/>
      <c r="K104" s="14"/>
    </row>
    <row r="105" spans="1:11" ht="15.75" customHeight="1" x14ac:dyDescent="0.35">
      <c r="A105" s="35"/>
      <c r="B105" s="27"/>
      <c r="C105" s="27"/>
      <c r="D105" s="80" t="s">
        <v>164</v>
      </c>
      <c r="E105" s="81"/>
      <c r="H105" s="27"/>
      <c r="I105" s="27"/>
      <c r="J105" s="27"/>
      <c r="K105" s="14"/>
    </row>
    <row r="106" spans="1:11" ht="15.75" customHeight="1" x14ac:dyDescent="0.35">
      <c r="A106" s="35"/>
      <c r="B106" s="27"/>
      <c r="C106" s="27"/>
      <c r="D106" s="61" t="s">
        <v>162</v>
      </c>
      <c r="E106" s="53"/>
      <c r="H106" s="27"/>
      <c r="I106" s="27"/>
      <c r="J106" s="27"/>
      <c r="K106" s="14"/>
    </row>
    <row r="107" spans="1:11" ht="15.75" customHeight="1" x14ac:dyDescent="0.35">
      <c r="A107" s="35"/>
      <c r="B107" s="27"/>
      <c r="C107" s="27"/>
      <c r="D107" s="82" t="s">
        <v>165</v>
      </c>
      <c r="E107" s="82" t="s">
        <v>166</v>
      </c>
      <c r="H107" s="27"/>
      <c r="I107" s="27"/>
      <c r="J107" s="27"/>
      <c r="K107" s="14"/>
    </row>
    <row r="108" spans="1:11" ht="15.75" customHeight="1" x14ac:dyDescent="0.35">
      <c r="A108" s="35"/>
      <c r="B108" s="27"/>
      <c r="C108" s="27"/>
      <c r="D108" s="46"/>
      <c r="E108" s="46" t="s">
        <v>92</v>
      </c>
      <c r="H108" s="27"/>
      <c r="I108" s="27"/>
      <c r="J108" s="27"/>
      <c r="K108" s="14"/>
    </row>
    <row r="109" spans="1:11" ht="15.75" customHeight="1" x14ac:dyDescent="0.35">
      <c r="A109" s="27"/>
      <c r="B109" s="27"/>
      <c r="C109" s="27"/>
      <c r="D109" s="27"/>
      <c r="E109" s="27"/>
      <c r="F109" s="27"/>
      <c r="G109" s="27"/>
      <c r="H109" s="27"/>
      <c r="I109" s="27"/>
      <c r="J109" s="27"/>
      <c r="K109" s="14"/>
    </row>
    <row r="110" spans="1:11" ht="15.75" customHeight="1" x14ac:dyDescent="0.35">
      <c r="A110" s="28" t="s">
        <v>167</v>
      </c>
      <c r="B110" s="29"/>
      <c r="C110" s="29"/>
      <c r="D110" s="29"/>
      <c r="E110" s="29"/>
      <c r="F110" s="29"/>
      <c r="G110" s="29"/>
      <c r="H110" s="27"/>
      <c r="I110" s="27"/>
      <c r="J110" s="27"/>
      <c r="K110" s="14"/>
    </row>
    <row r="111" spans="1:11" ht="15.75" customHeight="1" x14ac:dyDescent="0.35">
      <c r="A111" s="27"/>
      <c r="B111" s="27"/>
      <c r="C111" s="27"/>
      <c r="D111" s="27"/>
      <c r="E111" s="27"/>
      <c r="F111" s="27"/>
      <c r="G111" s="27"/>
      <c r="H111" s="27"/>
      <c r="I111" s="27"/>
      <c r="J111" s="27"/>
      <c r="K111" s="14"/>
    </row>
    <row r="112" spans="1:11" ht="15.75" customHeight="1" x14ac:dyDescent="0.35">
      <c r="A112" s="27" t="s">
        <v>168</v>
      </c>
      <c r="B112" s="27"/>
      <c r="C112" s="27"/>
      <c r="D112" s="50"/>
      <c r="E112" s="51"/>
      <c r="F112" s="51"/>
      <c r="G112" s="27"/>
      <c r="H112" s="27"/>
      <c r="I112" s="27"/>
      <c r="J112" s="27"/>
      <c r="K112" s="14"/>
    </row>
    <row r="113" spans="1:18" ht="15.75" customHeight="1" x14ac:dyDescent="0.35">
      <c r="A113" s="27"/>
      <c r="B113" s="27"/>
      <c r="C113" s="27"/>
      <c r="D113" s="50" t="s">
        <v>164</v>
      </c>
      <c r="E113" s="51"/>
      <c r="F113" s="51"/>
      <c r="G113" s="27"/>
      <c r="H113" s="27"/>
      <c r="I113" s="27"/>
      <c r="J113" s="27"/>
      <c r="K113" s="14"/>
    </row>
    <row r="114" spans="1:18" ht="36" customHeight="1" x14ac:dyDescent="0.35">
      <c r="A114" s="83"/>
      <c r="B114" s="83"/>
      <c r="C114" s="83"/>
      <c r="D114" s="84" t="s">
        <v>169</v>
      </c>
      <c r="E114" s="85" t="s">
        <v>170</v>
      </c>
      <c r="F114" s="85" t="s">
        <v>171</v>
      </c>
      <c r="G114" s="27"/>
      <c r="H114" s="83"/>
      <c r="I114" s="27"/>
      <c r="J114" s="27"/>
      <c r="K114" s="14"/>
    </row>
    <row r="115" spans="1:18" ht="15.75" customHeight="1" x14ac:dyDescent="0.35">
      <c r="A115" s="27"/>
      <c r="B115" s="27"/>
      <c r="C115" s="27"/>
      <c r="D115" s="46"/>
      <c r="E115" s="46"/>
      <c r="F115" s="46"/>
      <c r="G115" s="27"/>
      <c r="H115" s="27"/>
      <c r="I115" s="27"/>
      <c r="J115" s="27"/>
      <c r="K115" s="14"/>
    </row>
    <row r="116" spans="1:18" ht="15.75" customHeight="1" x14ac:dyDescent="0.35">
      <c r="A116" s="27"/>
      <c r="B116" s="27"/>
      <c r="C116" s="27"/>
      <c r="D116" s="27"/>
      <c r="E116" s="27"/>
      <c r="F116" s="27"/>
      <c r="G116" s="27"/>
      <c r="H116" s="27"/>
      <c r="I116" s="27"/>
      <c r="J116" s="27"/>
      <c r="K116" s="14"/>
      <c r="N116" s="86"/>
      <c r="O116" s="86"/>
      <c r="P116" s="86"/>
      <c r="Q116" s="86"/>
      <c r="R116" s="86"/>
    </row>
    <row r="117" spans="1:18" ht="15.5" customHeight="1" x14ac:dyDescent="0.35">
      <c r="A117" s="27" t="s">
        <v>172</v>
      </c>
      <c r="B117" s="27"/>
      <c r="C117" s="27"/>
      <c r="D117" s="27"/>
      <c r="E117" s="27"/>
      <c r="F117" s="27"/>
      <c r="G117" s="27"/>
      <c r="H117" s="27"/>
      <c r="I117" s="27"/>
      <c r="J117" s="27"/>
      <c r="K117" s="14"/>
    </row>
    <row r="118" spans="1:18" ht="15.75" customHeight="1" x14ac:dyDescent="0.35">
      <c r="A118" s="27" t="s">
        <v>161</v>
      </c>
      <c r="B118" s="27"/>
      <c r="C118" s="27"/>
      <c r="D118" s="27"/>
      <c r="E118" s="27"/>
      <c r="F118" s="27"/>
      <c r="G118" s="27"/>
      <c r="H118" s="27"/>
      <c r="I118" s="27"/>
      <c r="J118" s="27"/>
      <c r="K118" s="14"/>
    </row>
    <row r="119" spans="1:18" ht="15.75" customHeight="1" x14ac:dyDescent="0.35">
      <c r="A119" s="27"/>
      <c r="B119" s="79"/>
      <c r="C119" s="76" t="s">
        <v>162</v>
      </c>
      <c r="D119" s="27"/>
      <c r="E119" s="27"/>
      <c r="F119" s="27"/>
      <c r="G119" s="27"/>
      <c r="H119" s="27"/>
      <c r="I119" s="27"/>
      <c r="J119" s="27"/>
      <c r="K119" s="14"/>
    </row>
    <row r="120" spans="1:18" ht="15.5" customHeight="1" x14ac:dyDescent="0.35">
      <c r="A120" s="27"/>
      <c r="B120" s="77"/>
      <c r="C120" s="78" t="s">
        <v>63</v>
      </c>
      <c r="D120" s="27"/>
      <c r="E120" s="27"/>
      <c r="F120" s="27"/>
      <c r="G120" s="27"/>
      <c r="H120" s="27"/>
      <c r="I120" s="27"/>
      <c r="J120" s="27"/>
      <c r="K120" s="14"/>
    </row>
    <row r="121" spans="1:18" ht="15.5" customHeight="1" x14ac:dyDescent="0.35">
      <c r="A121" s="35"/>
      <c r="B121" s="79"/>
      <c r="C121" s="79"/>
      <c r="D121" s="27"/>
      <c r="E121" s="27"/>
      <c r="F121" s="27"/>
      <c r="G121" s="27"/>
      <c r="H121" s="27"/>
      <c r="I121" s="27"/>
      <c r="J121" s="27"/>
    </row>
    <row r="122" spans="1:18" ht="15.5" customHeight="1" x14ac:dyDescent="0.35">
      <c r="A122" s="27" t="s">
        <v>173</v>
      </c>
      <c r="B122" s="27"/>
      <c r="C122" s="27"/>
      <c r="D122" s="27"/>
      <c r="E122" s="27"/>
      <c r="F122" s="27"/>
      <c r="G122" s="27"/>
      <c r="H122" s="27"/>
      <c r="I122" s="27"/>
      <c r="J122" s="27"/>
      <c r="K122" s="14"/>
    </row>
    <row r="123" spans="1:18" ht="15.5" customHeight="1" x14ac:dyDescent="0.35">
      <c r="A123" s="27" t="s">
        <v>161</v>
      </c>
      <c r="B123" s="27"/>
      <c r="C123" s="27"/>
      <c r="D123" s="27"/>
      <c r="E123" s="27"/>
      <c r="F123" s="27"/>
      <c r="G123" s="27"/>
      <c r="H123" s="27"/>
      <c r="I123" s="27"/>
      <c r="J123" s="27"/>
      <c r="K123" s="14"/>
    </row>
    <row r="124" spans="1:18" ht="15.5" customHeight="1" x14ac:dyDescent="0.35">
      <c r="A124" s="35"/>
      <c r="B124" s="27"/>
      <c r="C124" s="76" t="s">
        <v>162</v>
      </c>
      <c r="D124" s="27"/>
      <c r="E124" s="27"/>
      <c r="F124" s="27"/>
      <c r="G124" s="27"/>
      <c r="H124" s="27"/>
      <c r="I124" s="27"/>
      <c r="J124" s="27"/>
      <c r="K124" s="14"/>
    </row>
    <row r="125" spans="1:18" ht="15.5" customHeight="1" x14ac:dyDescent="0.35">
      <c r="A125" s="27"/>
      <c r="B125" s="77"/>
      <c r="C125" s="78" t="s">
        <v>113</v>
      </c>
      <c r="D125" s="27"/>
      <c r="E125" s="27"/>
      <c r="F125" s="27"/>
      <c r="G125" s="27"/>
      <c r="H125" s="27"/>
      <c r="I125" s="27"/>
      <c r="J125" s="27"/>
      <c r="K125" s="14"/>
    </row>
    <row r="126" spans="1:18" ht="15.5" customHeight="1" x14ac:dyDescent="0.35">
      <c r="A126" s="27"/>
      <c r="B126" s="27"/>
      <c r="C126" s="27"/>
      <c r="D126" s="27"/>
      <c r="E126" s="27"/>
      <c r="F126" s="27"/>
      <c r="G126" s="27"/>
      <c r="H126" s="27"/>
      <c r="I126" s="27"/>
      <c r="J126" s="27"/>
      <c r="K126" s="14"/>
    </row>
    <row r="127" spans="1:18" ht="15.5" customHeight="1" x14ac:dyDescent="0.35">
      <c r="A127" s="87" t="s">
        <v>174</v>
      </c>
      <c r="B127" s="88"/>
      <c r="C127" s="89"/>
      <c r="D127" s="27"/>
      <c r="E127" s="27"/>
      <c r="F127" s="27"/>
      <c r="G127" s="27"/>
      <c r="H127" s="27"/>
      <c r="I127" s="27"/>
      <c r="J127" s="27"/>
      <c r="K127" s="14"/>
    </row>
    <row r="128" spans="1:18" ht="15.5" customHeight="1" x14ac:dyDescent="0.35">
      <c r="A128" s="35"/>
      <c r="B128" s="27"/>
      <c r="C128" s="27"/>
      <c r="D128" s="27"/>
      <c r="E128" s="27"/>
      <c r="F128" s="27"/>
      <c r="G128" s="27"/>
      <c r="H128" s="27"/>
      <c r="I128" s="27"/>
      <c r="J128" s="27"/>
      <c r="K128" s="14"/>
    </row>
    <row r="129" spans="1:11" ht="15.5" customHeight="1" x14ac:dyDescent="0.35">
      <c r="A129" s="35" t="s">
        <v>175</v>
      </c>
      <c r="B129" s="27"/>
      <c r="C129" s="27"/>
      <c r="D129" s="27"/>
      <c r="E129" s="27"/>
      <c r="F129" s="27"/>
      <c r="G129" s="27"/>
      <c r="H129" s="27"/>
      <c r="I129" s="27"/>
      <c r="J129" s="27"/>
      <c r="K129" s="14"/>
    </row>
    <row r="130" spans="1:11" ht="15.5" customHeight="1" x14ac:dyDescent="0.35">
      <c r="A130" s="27"/>
      <c r="B130" s="27"/>
      <c r="C130" s="27"/>
      <c r="D130" s="27"/>
      <c r="E130" s="27"/>
      <c r="F130" s="27"/>
      <c r="G130" s="27"/>
      <c r="H130" s="27"/>
      <c r="I130" s="27"/>
      <c r="J130" s="27"/>
      <c r="K130" s="14"/>
    </row>
    <row r="131" spans="1:11" ht="15.5" customHeight="1" x14ac:dyDescent="0.35">
      <c r="A131" s="27"/>
      <c r="B131" s="27"/>
      <c r="C131" s="27"/>
      <c r="D131" s="61" t="s">
        <v>162</v>
      </c>
      <c r="E131" s="53"/>
      <c r="I131" s="27"/>
      <c r="J131" s="27"/>
      <c r="K131" s="14"/>
    </row>
    <row r="132" spans="1:11" ht="15.5" customHeight="1" x14ac:dyDescent="0.35">
      <c r="A132" s="27"/>
      <c r="B132" s="27"/>
      <c r="C132" s="27"/>
      <c r="D132" s="82" t="s">
        <v>165</v>
      </c>
      <c r="E132" s="82" t="s">
        <v>166</v>
      </c>
      <c r="I132" s="27"/>
      <c r="J132" s="27"/>
      <c r="K132" s="14"/>
    </row>
    <row r="133" spans="1:11" ht="15.5" customHeight="1" x14ac:dyDescent="0.35">
      <c r="A133" s="27" t="s">
        <v>176</v>
      </c>
      <c r="B133" s="27"/>
      <c r="C133" s="27"/>
      <c r="D133" s="46" t="s">
        <v>92</v>
      </c>
      <c r="E133" s="46"/>
      <c r="H133" s="60"/>
      <c r="I133" s="27"/>
      <c r="J133" s="27"/>
      <c r="K133" s="14"/>
    </row>
    <row r="134" spans="1:11" ht="15.5" customHeight="1" x14ac:dyDescent="0.35">
      <c r="A134" s="27" t="s">
        <v>177</v>
      </c>
      <c r="B134" s="27"/>
      <c r="C134" s="27"/>
      <c r="D134" s="46"/>
      <c r="E134" s="46"/>
      <c r="H134" s="60"/>
      <c r="I134" s="27"/>
      <c r="J134" s="27"/>
      <c r="K134" s="14"/>
    </row>
    <row r="135" spans="1:11" ht="15.5" customHeight="1" x14ac:dyDescent="0.35">
      <c r="A135" s="27" t="s">
        <v>178</v>
      </c>
      <c r="B135" s="27"/>
      <c r="C135" s="27"/>
      <c r="D135" s="46"/>
      <c r="E135" s="46" t="s">
        <v>92</v>
      </c>
      <c r="H135" s="60"/>
      <c r="I135" s="27"/>
      <c r="J135" s="27"/>
      <c r="K135" s="14"/>
    </row>
    <row r="136" spans="1:11" ht="15.5" customHeight="1" x14ac:dyDescent="0.35">
      <c r="A136" s="27"/>
      <c r="B136" s="27"/>
      <c r="C136" s="27"/>
      <c r="D136" s="27"/>
      <c r="E136" s="27"/>
      <c r="F136" s="27"/>
      <c r="G136" s="27"/>
      <c r="H136" s="60"/>
      <c r="I136" s="27"/>
      <c r="J136" s="27"/>
      <c r="K136" s="14"/>
    </row>
    <row r="137" spans="1:11" ht="15.5" customHeight="1" x14ac:dyDescent="0.35">
      <c r="A137" s="27" t="s">
        <v>179</v>
      </c>
      <c r="B137" s="27"/>
      <c r="C137" s="27"/>
      <c r="D137" s="90" t="s">
        <v>180</v>
      </c>
      <c r="E137" s="46"/>
      <c r="F137" s="90" t="s">
        <v>181</v>
      </c>
      <c r="G137" s="46"/>
      <c r="H137" s="60"/>
      <c r="I137" s="27"/>
      <c r="J137" s="27"/>
      <c r="K137" s="14"/>
    </row>
    <row r="138" spans="1:11" ht="15.5" customHeight="1" x14ac:dyDescent="0.35">
      <c r="A138" s="27"/>
      <c r="B138" s="27"/>
      <c r="C138" s="27"/>
      <c r="D138" s="90" t="s">
        <v>182</v>
      </c>
      <c r="E138" s="46" t="s">
        <v>92</v>
      </c>
      <c r="F138" s="90" t="s">
        <v>183</v>
      </c>
      <c r="G138" s="46"/>
      <c r="H138" s="2"/>
      <c r="I138" s="27"/>
      <c r="J138" s="27"/>
      <c r="K138" s="14"/>
    </row>
    <row r="139" spans="1:11" ht="15.5" customHeight="1" x14ac:dyDescent="0.35">
      <c r="A139" s="27"/>
      <c r="B139" s="27"/>
      <c r="C139" s="27"/>
      <c r="D139" s="27"/>
      <c r="E139" s="27"/>
      <c r="F139" s="27"/>
      <c r="G139" s="27"/>
      <c r="H139" s="27"/>
      <c r="I139" s="27"/>
      <c r="J139" s="27"/>
      <c r="K139" s="14"/>
    </row>
    <row r="140" spans="1:11" ht="15.5" customHeight="1" x14ac:dyDescent="0.35">
      <c r="A140" s="50" t="s">
        <v>184</v>
      </c>
      <c r="B140" s="51"/>
      <c r="C140" s="51"/>
      <c r="D140" s="51"/>
      <c r="E140" s="51"/>
      <c r="F140" s="51"/>
      <c r="G140" s="51"/>
      <c r="H140" s="51"/>
      <c r="I140" s="27"/>
      <c r="J140" s="27"/>
      <c r="K140" s="14"/>
    </row>
    <row r="141" spans="1:11" ht="15.5" customHeight="1" x14ac:dyDescent="0.35">
      <c r="A141" s="27"/>
      <c r="B141" s="27"/>
      <c r="C141" s="27"/>
      <c r="D141" s="27"/>
      <c r="E141" s="27"/>
      <c r="F141" s="27"/>
      <c r="G141" s="27"/>
      <c r="H141" s="27"/>
      <c r="I141" s="27"/>
      <c r="J141" s="27"/>
      <c r="K141" s="14"/>
    </row>
    <row r="142" spans="1:11" ht="15.5" customHeight="1" x14ac:dyDescent="0.35">
      <c r="A142" s="27" t="s">
        <v>185</v>
      </c>
      <c r="B142" s="91" t="s">
        <v>186</v>
      </c>
      <c r="C142" s="27"/>
      <c r="D142" s="27" t="s">
        <v>187</v>
      </c>
      <c r="E142" s="92" t="s">
        <v>188</v>
      </c>
      <c r="H142" s="27"/>
      <c r="I142" s="27"/>
      <c r="J142" s="27"/>
      <c r="K142" s="14"/>
    </row>
    <row r="143" spans="1:11" ht="15.5" customHeight="1" x14ac:dyDescent="0.35">
      <c r="A143" s="27" t="s">
        <v>189</v>
      </c>
      <c r="B143" s="91" t="s">
        <v>186</v>
      </c>
      <c r="C143" s="27"/>
      <c r="D143" s="27" t="s">
        <v>190</v>
      </c>
      <c r="E143" t="s">
        <v>264</v>
      </c>
      <c r="H143" s="27"/>
      <c r="I143" s="27"/>
      <c r="J143" s="27"/>
      <c r="K143" s="14"/>
    </row>
    <row r="144" spans="1:11" ht="15.5" customHeight="1" x14ac:dyDescent="0.35">
      <c r="A144" s="27" t="s">
        <v>191</v>
      </c>
      <c r="B144" s="91"/>
      <c r="C144" s="27"/>
      <c r="D144" s="27" t="s">
        <v>192</v>
      </c>
      <c r="E144" s="92" t="s">
        <v>193</v>
      </c>
      <c r="H144" s="27"/>
      <c r="I144" s="27"/>
      <c r="J144" s="27"/>
      <c r="K144" s="14"/>
    </row>
    <row r="145" spans="1:55" ht="15.5" customHeight="1" x14ac:dyDescent="0.35">
      <c r="A145" s="27" t="s">
        <v>194</v>
      </c>
      <c r="B145" s="91" t="s">
        <v>195</v>
      </c>
      <c r="C145" s="27"/>
      <c r="D145" s="27" t="s">
        <v>196</v>
      </c>
      <c r="E145" s="92"/>
      <c r="H145" s="93"/>
      <c r="I145" s="27"/>
      <c r="J145" s="27"/>
      <c r="K145" s="14"/>
    </row>
    <row r="146" spans="1:55" ht="15.5" customHeight="1" x14ac:dyDescent="0.35">
      <c r="A146" s="27" t="s">
        <v>197</v>
      </c>
      <c r="B146" s="91" t="s">
        <v>198</v>
      </c>
      <c r="C146" s="27"/>
      <c r="D146" s="27" t="s">
        <v>265</v>
      </c>
      <c r="E146" s="94">
        <v>46219</v>
      </c>
      <c r="H146" s="27"/>
      <c r="I146" s="27"/>
      <c r="J146" s="27"/>
      <c r="K146" s="14"/>
    </row>
    <row r="147" spans="1:55" ht="17.5" customHeight="1" x14ac:dyDescent="0.35">
      <c r="A147" s="95" t="s">
        <v>199</v>
      </c>
      <c r="B147" s="29"/>
      <c r="C147" s="29"/>
      <c r="D147" s="29"/>
      <c r="E147" s="29"/>
      <c r="F147" s="29"/>
      <c r="G147" s="29"/>
      <c r="H147" s="27"/>
      <c r="I147" s="27"/>
      <c r="J147" s="27"/>
      <c r="K147" s="14"/>
    </row>
    <row r="148" spans="1:55" s="97" customFormat="1" ht="16.5" customHeight="1" x14ac:dyDescent="0.35">
      <c r="A148" s="96" t="s">
        <v>200</v>
      </c>
      <c r="B148" s="27"/>
      <c r="C148" s="27"/>
      <c r="D148" s="27"/>
      <c r="E148" s="27"/>
      <c r="F148" s="27"/>
      <c r="G148" s="27"/>
      <c r="H148" s="27"/>
      <c r="I148" s="27"/>
      <c r="J148" s="27"/>
      <c r="K148" s="14"/>
      <c r="L148" s="86"/>
      <c r="M148" s="86"/>
      <c r="N148" s="17"/>
      <c r="O148" s="17"/>
      <c r="P148" s="17"/>
      <c r="Q148" s="17"/>
      <c r="R148" s="17"/>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c r="AY148" s="86"/>
      <c r="AZ148" s="86"/>
      <c r="BA148" s="86"/>
      <c r="BB148" s="86"/>
      <c r="BC148" s="86"/>
    </row>
    <row r="149" spans="1:55" ht="15.5" customHeight="1" x14ac:dyDescent="0.35">
      <c r="A149" s="98" t="s">
        <v>201</v>
      </c>
      <c r="B149" s="27"/>
      <c r="C149" s="27"/>
      <c r="D149" s="27"/>
      <c r="E149" s="27"/>
      <c r="F149" s="27"/>
      <c r="G149" s="27"/>
      <c r="H149" s="27"/>
      <c r="I149" s="27"/>
      <c r="J149" s="27"/>
      <c r="K149" s="14"/>
    </row>
    <row r="150" spans="1:55" ht="15.5" customHeight="1" x14ac:dyDescent="0.35">
      <c r="A150" s="27"/>
      <c r="B150" s="27"/>
      <c r="C150" s="27"/>
      <c r="D150" s="27"/>
      <c r="E150" s="27"/>
      <c r="F150" s="27"/>
      <c r="G150" s="27"/>
      <c r="H150" s="27"/>
      <c r="I150" s="27"/>
      <c r="J150" s="27"/>
      <c r="K150" s="14"/>
    </row>
    <row r="151" spans="1:55" ht="15.5" customHeight="1" x14ac:dyDescent="0.35">
      <c r="A151" s="27"/>
      <c r="B151" s="27"/>
      <c r="C151" s="27"/>
      <c r="D151" s="27"/>
      <c r="E151" s="27"/>
      <c r="F151" s="27"/>
      <c r="G151" s="27"/>
      <c r="H151" s="27"/>
      <c r="I151" s="27"/>
      <c r="J151" s="27"/>
      <c r="K151" s="14"/>
    </row>
    <row r="152" spans="1:55" ht="15.5" customHeight="1" x14ac:dyDescent="0.35">
      <c r="A152" s="27"/>
      <c r="B152" s="27"/>
      <c r="C152" s="27"/>
      <c r="D152" s="27"/>
      <c r="E152" s="27"/>
      <c r="F152" s="27"/>
      <c r="G152" s="27"/>
      <c r="H152" s="27"/>
      <c r="I152" s="27"/>
      <c r="J152" s="27"/>
      <c r="K152" s="14"/>
    </row>
    <row r="153" spans="1:55" ht="15.5" customHeight="1" x14ac:dyDescent="0.35">
      <c r="A153" s="27"/>
      <c r="B153" s="27"/>
      <c r="C153" s="27"/>
      <c r="D153" s="27"/>
      <c r="E153" s="27"/>
      <c r="F153" s="27"/>
      <c r="G153" s="27"/>
      <c r="H153" s="27"/>
      <c r="I153" s="27"/>
      <c r="J153" s="27"/>
      <c r="K153" s="14"/>
    </row>
    <row r="154" spans="1:55" ht="15.5" customHeight="1" x14ac:dyDescent="0.35">
      <c r="A154" s="27"/>
      <c r="B154" s="27"/>
      <c r="C154" s="27"/>
      <c r="D154" s="27"/>
      <c r="E154" s="27"/>
      <c r="F154" s="27"/>
      <c r="G154" s="27"/>
      <c r="H154" s="27"/>
      <c r="I154" s="27"/>
      <c r="J154" s="27"/>
      <c r="K154" s="14"/>
    </row>
    <row r="159" spans="1:55" x14ac:dyDescent="0.25">
      <c r="F159" s="20" t="s">
        <v>202</v>
      </c>
    </row>
    <row r="160" spans="1:55" x14ac:dyDescent="0.25">
      <c r="B160" s="20" t="s">
        <v>203</v>
      </c>
    </row>
  </sheetData>
  <conditionalFormatting sqref="D19">
    <cfRule type="cellIs" dxfId="28" priority="4" stopIfTrue="1" operator="equal">
      <formula>99999</formula>
    </cfRule>
  </conditionalFormatting>
  <conditionalFormatting sqref="D25:D30">
    <cfRule type="expression" dxfId="27" priority="8" stopIfTrue="1">
      <formula>ISTEXT(D25)</formula>
    </cfRule>
  </conditionalFormatting>
  <conditionalFormatting sqref="D35:D37">
    <cfRule type="expression" dxfId="26" priority="2" stopIfTrue="1">
      <formula>ISTEXT(D35)</formula>
    </cfRule>
  </conditionalFormatting>
  <conditionalFormatting sqref="D65:D68">
    <cfRule type="expression" dxfId="25" priority="22" stopIfTrue="1">
      <formula>ISTEXT(D65)</formula>
    </cfRule>
  </conditionalFormatting>
  <conditionalFormatting sqref="D74:D77">
    <cfRule type="expression" dxfId="24" priority="21" stopIfTrue="1">
      <formula>ISTEXT(D74)</formula>
    </cfRule>
  </conditionalFormatting>
  <conditionalFormatting sqref="D87:D88">
    <cfRule type="expression" dxfId="23" priority="20" stopIfTrue="1">
      <formula>ISTEXT(D87)</formula>
    </cfRule>
  </conditionalFormatting>
  <conditionalFormatting sqref="D119 D121">
    <cfRule type="duplicateValues" dxfId="22" priority="28" stopIfTrue="1"/>
  </conditionalFormatting>
  <conditionalFormatting sqref="D123:D124 D126">
    <cfRule type="duplicateValues" dxfId="21" priority="29" stopIfTrue="1"/>
  </conditionalFormatting>
  <conditionalFormatting sqref="D108:E108">
    <cfRule type="duplicateValues" dxfId="20" priority="27" stopIfTrue="1"/>
  </conditionalFormatting>
  <conditionalFormatting sqref="D118:E119 D121:G121">
    <cfRule type="duplicateValues" dxfId="19" priority="30" stopIfTrue="1"/>
  </conditionalFormatting>
  <conditionalFormatting sqref="D133:E133">
    <cfRule type="duplicateValues" dxfId="18" priority="17" stopIfTrue="1"/>
  </conditionalFormatting>
  <conditionalFormatting sqref="D134:E134">
    <cfRule type="duplicateValues" dxfId="17" priority="16" stopIfTrue="1"/>
  </conditionalFormatting>
  <conditionalFormatting sqref="D135:E135">
    <cfRule type="duplicateValues" dxfId="16" priority="15" stopIfTrue="1"/>
  </conditionalFormatting>
  <conditionalFormatting sqref="D46:G46">
    <cfRule type="duplicateValues" dxfId="15" priority="24" stopIfTrue="1"/>
  </conditionalFormatting>
  <conditionalFormatting sqref="D54:G54">
    <cfRule type="duplicateValues" dxfId="14" priority="23" stopIfTrue="1"/>
  </conditionalFormatting>
  <conditionalFormatting sqref="D94:G94">
    <cfRule type="duplicateValues" dxfId="13" priority="19" stopIfTrue="1"/>
  </conditionalFormatting>
  <conditionalFormatting sqref="D95:G95">
    <cfRule type="duplicateValues" dxfId="12" priority="18" stopIfTrue="1"/>
  </conditionalFormatting>
  <conditionalFormatting sqref="D115:G115">
    <cfRule type="duplicateValues" dxfId="11" priority="12" stopIfTrue="1"/>
  </conditionalFormatting>
  <conditionalFormatting sqref="E35">
    <cfRule type="expression" dxfId="10" priority="26" stopIfTrue="1">
      <formula>AND(NOT(ISBLANK($D$35)),NOT(ISBLANK($E$35)))</formula>
    </cfRule>
  </conditionalFormatting>
  <conditionalFormatting sqref="E137:E138">
    <cfRule type="duplicateValues" dxfId="9" priority="14" stopIfTrue="1"/>
  </conditionalFormatting>
  <conditionalFormatting sqref="E102:G102">
    <cfRule type="duplicateValues" dxfId="8" priority="5" stopIfTrue="1"/>
  </conditionalFormatting>
  <conditionalFormatting sqref="E119:G119">
    <cfRule type="duplicateValues" dxfId="7" priority="11" stopIfTrue="1"/>
  </conditionalFormatting>
  <conditionalFormatting sqref="E120:G120">
    <cfRule type="duplicateValues" dxfId="6" priority="6" stopIfTrue="1"/>
  </conditionalFormatting>
  <conditionalFormatting sqref="E125:G125">
    <cfRule type="duplicateValues" dxfId="5" priority="10" stopIfTrue="1"/>
  </conditionalFormatting>
  <conditionalFormatting sqref="F103">
    <cfRule type="duplicateValues" dxfId="4" priority="7" stopIfTrue="1"/>
  </conditionalFormatting>
  <conditionalFormatting sqref="G58">
    <cfRule type="cellIs" dxfId="3" priority="3" stopIfTrue="1" operator="equal">
      <formula>99999</formula>
    </cfRule>
  </conditionalFormatting>
  <conditionalFormatting sqref="G103">
    <cfRule type="duplicateValues" dxfId="2" priority="9" stopIfTrue="1"/>
  </conditionalFormatting>
  <conditionalFormatting sqref="G137:G138">
    <cfRule type="duplicateValues" dxfId="1" priority="13" stopIfTrue="1"/>
  </conditionalFormatting>
  <conditionalFormatting sqref="F25:F30">
    <cfRule type="expression" dxfId="0" priority="1" stopIfTrue="1">
      <formula>ISTEXT(F25)</formula>
    </cfRule>
  </conditionalFormatting>
  <dataValidations count="4">
    <dataValidation type="list" allowBlank="1" showInputMessage="1" showErrorMessage="1" sqref="C125" xr:uid="{00000000-0002-0000-0000-000000000000}">
      <formula1>$L$24:$L$32</formula1>
    </dataValidation>
    <dataValidation type="list" allowBlank="1" showInputMessage="1" showErrorMessage="1" sqref="C120" xr:uid="{00000000-0002-0000-0000-000001000000}">
      <formula1>$L$16:$L$22</formula1>
    </dataValidation>
    <dataValidation type="list" allowBlank="1" showInputMessage="1" showErrorMessage="1" sqref="C102" xr:uid="{00000000-0002-0000-0000-000002000000}">
      <formula1>$L$5:$L$14</formula1>
    </dataValidation>
    <dataValidation type="list" allowBlank="1" showInputMessage="1" showErrorMessage="1" errorTitle="Error" error="Seleccione X de la lista desplegable, no se permiten otros valores" promptTitle="Marcar" prompt="Si considera esta respuesta adecuada seleccione X" sqref="D46:G46 D54:G54 D94:G95 D108:E108 D115:F115 D133:E135 E35 E137:E138 G137:G138" xr:uid="{00000000-0002-0000-0000-000003000000}">
      <formula1>$A$20</formula1>
    </dataValidation>
  </dataValidations>
  <hyperlinks>
    <hyperlink ref="B13" r:id="rId1" xr:uid="{00000000-0004-0000-0000-000000000000}"/>
  </hyperlinks>
  <printOptions horizontalCentered="1"/>
  <pageMargins left="0.59055118110236227" right="0.78740157480314965" top="0.59055118110236227" bottom="0.59055118110236227" header="0" footer="0"/>
  <pageSetup scale="58" fitToHeight="2" orientation="portrait"/>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3" x14ac:dyDescent="0.3"/>
  <cols>
    <col min="1" max="1" width="7.453125" style="102" bestFit="1" customWidth="1"/>
    <col min="2" max="2" width="14.54296875" style="102" bestFit="1" customWidth="1"/>
    <col min="3" max="3" width="23.54296875" style="102" bestFit="1" customWidth="1"/>
    <col min="4" max="4" width="16.81640625" style="102" bestFit="1" customWidth="1"/>
    <col min="5" max="5" width="26.453125" style="102" bestFit="1" customWidth="1"/>
    <col min="6" max="6" width="17.1796875" style="102" customWidth="1"/>
    <col min="7" max="7" width="11.453125" style="102" customWidth="1"/>
    <col min="8" max="16384" width="11.453125" style="102"/>
  </cols>
  <sheetData>
    <row r="1" spans="1:6" ht="14.5" customHeight="1" x14ac:dyDescent="0.35">
      <c r="A1" s="1"/>
      <c r="B1" s="1" t="s">
        <v>204</v>
      </c>
      <c r="C1" s="1" t="s">
        <v>205</v>
      </c>
      <c r="D1" s="1" t="s">
        <v>206</v>
      </c>
      <c r="E1" s="1" t="s">
        <v>207</v>
      </c>
      <c r="F1" s="1" t="s">
        <v>208</v>
      </c>
    </row>
    <row r="2" spans="1:6" ht="14.5" customHeight="1" x14ac:dyDescent="0.35">
      <c r="A2" s="103">
        <v>40148</v>
      </c>
      <c r="B2" s="104">
        <v>2</v>
      </c>
      <c r="C2" s="104"/>
      <c r="D2" s="104">
        <v>2044.23</v>
      </c>
      <c r="E2" s="104">
        <v>-8.885758984484692</v>
      </c>
      <c r="F2" s="104">
        <v>11.312200000000001</v>
      </c>
    </row>
    <row r="3" spans="1:6" ht="14.5" customHeight="1" x14ac:dyDescent="0.35">
      <c r="A3" s="103">
        <v>40179</v>
      </c>
      <c r="B3" s="104">
        <v>2.1</v>
      </c>
      <c r="C3" s="104"/>
      <c r="D3" s="104">
        <v>1982.29</v>
      </c>
      <c r="E3" s="104">
        <v>-18.100000000000001</v>
      </c>
      <c r="F3" s="104">
        <v>14.8787</v>
      </c>
    </row>
    <row r="4" spans="1:6" ht="14.5" customHeight="1" x14ac:dyDescent="0.35">
      <c r="A4" s="103">
        <v>40210</v>
      </c>
      <c r="B4" s="104">
        <v>2.09</v>
      </c>
      <c r="C4" s="104"/>
      <c r="D4" s="104">
        <v>1932.32</v>
      </c>
      <c r="E4" s="104">
        <v>-24.4</v>
      </c>
      <c r="F4" s="104">
        <v>12.694699999999999</v>
      </c>
    </row>
    <row r="5" spans="1:6" ht="14.5" customHeight="1" x14ac:dyDescent="0.35">
      <c r="A5" s="103">
        <v>40238</v>
      </c>
      <c r="B5" s="104">
        <v>1.84</v>
      </c>
      <c r="C5" s="104"/>
      <c r="D5" s="104">
        <v>1928.59</v>
      </c>
      <c r="E5" s="104">
        <v>-24.7</v>
      </c>
      <c r="F5" s="104">
        <v>11.959</v>
      </c>
    </row>
    <row r="6" spans="1:6" ht="14.5" customHeight="1" x14ac:dyDescent="0.35">
      <c r="A6" s="103">
        <v>40269</v>
      </c>
      <c r="B6" s="104">
        <v>1.98</v>
      </c>
      <c r="C6" s="104"/>
      <c r="D6" s="104">
        <v>1969.75</v>
      </c>
      <c r="E6" s="104">
        <v>-13.97</v>
      </c>
      <c r="F6" s="104">
        <v>12.4399</v>
      </c>
    </row>
    <row r="7" spans="1:6" ht="14.5" customHeight="1" x14ac:dyDescent="0.35">
      <c r="A7" s="103">
        <v>40299</v>
      </c>
      <c r="B7" s="104">
        <v>2.0699999999999998</v>
      </c>
      <c r="C7" s="104"/>
      <c r="D7" s="104">
        <v>1971.55</v>
      </c>
      <c r="E7" s="104">
        <v>-7.9</v>
      </c>
      <c r="F7" s="104">
        <v>12.263400000000001</v>
      </c>
    </row>
    <row r="8" spans="1:6" ht="14.5" customHeight="1" x14ac:dyDescent="0.35">
      <c r="A8" s="103">
        <v>40330</v>
      </c>
      <c r="B8" s="104">
        <v>2.25</v>
      </c>
      <c r="C8" s="104"/>
      <c r="D8" s="104">
        <v>1916.46</v>
      </c>
      <c r="E8" s="104">
        <v>-11.22</v>
      </c>
      <c r="F8" s="104">
        <v>11.9801</v>
      </c>
    </row>
    <row r="9" spans="1:6" ht="14.5" customHeight="1" x14ac:dyDescent="0.35">
      <c r="A9" s="103">
        <v>40360</v>
      </c>
      <c r="B9" s="104">
        <v>2.2400000000000002</v>
      </c>
      <c r="C9" s="104"/>
      <c r="D9" s="104">
        <v>1842.79</v>
      </c>
      <c r="E9" s="104">
        <v>-9.82</v>
      </c>
      <c r="F9" s="104">
        <v>12.8583</v>
      </c>
    </row>
    <row r="10" spans="1:6" ht="14.5" customHeight="1" x14ac:dyDescent="0.35">
      <c r="A10" s="103">
        <v>40391</v>
      </c>
      <c r="B10" s="104">
        <v>2.31</v>
      </c>
      <c r="C10" s="104"/>
      <c r="D10" s="104">
        <v>1823.74</v>
      </c>
      <c r="E10" s="104">
        <v>-10.38</v>
      </c>
      <c r="F10" s="104">
        <v>11.3779</v>
      </c>
    </row>
    <row r="11" spans="1:6" ht="14.5" customHeight="1" x14ac:dyDescent="0.35">
      <c r="A11" s="103">
        <v>40422</v>
      </c>
      <c r="B11" s="104">
        <v>2.2799999999999998</v>
      </c>
      <c r="C11" s="104"/>
      <c r="D11" s="104">
        <v>1799.89</v>
      </c>
      <c r="E11" s="104">
        <v>-6.35</v>
      </c>
      <c r="F11" s="104">
        <v>10.8675</v>
      </c>
    </row>
    <row r="12" spans="1:6" ht="14.5" customHeight="1" x14ac:dyDescent="0.35">
      <c r="A12" s="103">
        <v>40452</v>
      </c>
      <c r="B12" s="104">
        <v>2.33</v>
      </c>
      <c r="C12" s="104"/>
      <c r="D12" s="104">
        <v>1831.64</v>
      </c>
      <c r="E12" s="104">
        <v>-8.1332129601765395</v>
      </c>
      <c r="F12" s="104">
        <v>10.452500000000001</v>
      </c>
    </row>
    <row r="13" spans="1:6" ht="14.5" customHeight="1" x14ac:dyDescent="0.35">
      <c r="A13" s="103">
        <v>40483</v>
      </c>
      <c r="B13" s="104">
        <v>2.59</v>
      </c>
      <c r="C13" s="104"/>
      <c r="D13" s="104">
        <v>1916.96</v>
      </c>
      <c r="E13" s="104">
        <v>-4.0305987073648186</v>
      </c>
      <c r="F13" s="104">
        <v>10.934100000000001</v>
      </c>
    </row>
    <row r="14" spans="1:6" ht="14.5" customHeight="1" x14ac:dyDescent="0.35">
      <c r="A14" s="103">
        <v>40513</v>
      </c>
      <c r="B14" s="104">
        <v>3.17</v>
      </c>
      <c r="C14" s="104"/>
      <c r="D14" s="104">
        <v>1913.98</v>
      </c>
      <c r="E14" s="104">
        <v>-6.3715922376640588</v>
      </c>
      <c r="F14" s="104">
        <v>11.2264</v>
      </c>
    </row>
    <row r="15" spans="1:6" ht="14.5" customHeight="1" x14ac:dyDescent="0.35">
      <c r="A15" s="103">
        <v>40544</v>
      </c>
      <c r="B15" s="104">
        <v>3.4</v>
      </c>
      <c r="C15" s="104"/>
      <c r="D15" s="104">
        <v>1857.98</v>
      </c>
      <c r="E15" s="104">
        <v>-6.27</v>
      </c>
      <c r="F15" s="104">
        <v>13.8965</v>
      </c>
    </row>
    <row r="16" spans="1:6" ht="14.5" customHeight="1" x14ac:dyDescent="0.35">
      <c r="A16" s="103">
        <v>40575</v>
      </c>
      <c r="B16" s="104">
        <v>3.17</v>
      </c>
      <c r="C16" s="104"/>
      <c r="D16" s="104">
        <v>1895.56</v>
      </c>
      <c r="E16" s="104">
        <v>-1.9</v>
      </c>
      <c r="F16" s="104">
        <v>13.1393</v>
      </c>
    </row>
    <row r="17" spans="1:6" ht="14.5" customHeight="1" x14ac:dyDescent="0.35">
      <c r="A17" s="103">
        <v>40603</v>
      </c>
      <c r="B17" s="104">
        <v>3.19</v>
      </c>
      <c r="C17" s="104"/>
      <c r="D17" s="104">
        <v>1879.47</v>
      </c>
      <c r="E17" s="104">
        <v>-2.5499999999999998</v>
      </c>
      <c r="F17" s="104">
        <v>10.9483</v>
      </c>
    </row>
    <row r="18" spans="1:6" ht="14.5" customHeight="1" x14ac:dyDescent="0.35">
      <c r="A18" s="103">
        <v>40634</v>
      </c>
      <c r="B18" s="104">
        <v>2.84</v>
      </c>
      <c r="C18" s="104"/>
      <c r="D18" s="104">
        <v>1768.19</v>
      </c>
      <c r="E18" s="104">
        <v>-10.23</v>
      </c>
      <c r="F18" s="104">
        <v>11.2743</v>
      </c>
    </row>
    <row r="19" spans="1:6" ht="14.5" customHeight="1" x14ac:dyDescent="0.35">
      <c r="A19" s="103">
        <v>40664</v>
      </c>
      <c r="B19" s="104">
        <v>3.02</v>
      </c>
      <c r="C19" s="104"/>
      <c r="D19" s="104">
        <v>1817.34</v>
      </c>
      <c r="E19" s="104">
        <v>-7.82</v>
      </c>
      <c r="F19" s="104">
        <v>11.553599999999999</v>
      </c>
    </row>
    <row r="20" spans="1:6" ht="14.5" customHeight="1" x14ac:dyDescent="0.35">
      <c r="A20" s="103">
        <v>40695</v>
      </c>
      <c r="B20" s="104">
        <v>3.23</v>
      </c>
      <c r="C20" s="104"/>
      <c r="D20" s="104">
        <v>1780.16</v>
      </c>
      <c r="E20" s="104">
        <v>-7.1099999999999994</v>
      </c>
      <c r="F20" s="104">
        <v>11.036</v>
      </c>
    </row>
    <row r="21" spans="1:6" ht="14.5" customHeight="1" x14ac:dyDescent="0.35">
      <c r="A21" s="103">
        <v>40725</v>
      </c>
      <c r="B21" s="104">
        <v>3.42</v>
      </c>
      <c r="C21" s="104"/>
      <c r="D21" s="104">
        <v>1777.82</v>
      </c>
      <c r="E21" s="104">
        <v>-3.53</v>
      </c>
      <c r="F21" s="104">
        <v>11.704000000000001</v>
      </c>
    </row>
    <row r="22" spans="1:6" ht="14.5" customHeight="1" x14ac:dyDescent="0.35">
      <c r="A22" s="103">
        <v>40756</v>
      </c>
      <c r="B22" s="104">
        <v>3.27</v>
      </c>
      <c r="C22" s="104"/>
      <c r="D22" s="104">
        <v>1783.66</v>
      </c>
      <c r="E22" s="104">
        <v>-2.2000000000000002</v>
      </c>
      <c r="F22" s="104">
        <v>10.415699999999999</v>
      </c>
    </row>
    <row r="23" spans="1:6" ht="14.5" customHeight="1" x14ac:dyDescent="0.35">
      <c r="A23" s="103">
        <v>40787</v>
      </c>
      <c r="B23" s="104">
        <v>3.73</v>
      </c>
      <c r="C23" s="104"/>
      <c r="D23" s="104">
        <v>1915.1</v>
      </c>
      <c r="E23" s="104">
        <v>6.4</v>
      </c>
      <c r="F23" s="104">
        <v>9.9278999999999993</v>
      </c>
    </row>
    <row r="24" spans="1:6" ht="14.5" customHeight="1" x14ac:dyDescent="0.35">
      <c r="A24" s="103">
        <v>40817</v>
      </c>
      <c r="B24" s="104">
        <v>4.0199999999999996</v>
      </c>
      <c r="C24" s="104"/>
      <c r="D24" s="104">
        <v>1863.06</v>
      </c>
      <c r="E24" s="104">
        <v>1.72</v>
      </c>
      <c r="F24" s="104">
        <v>9.3596000000000004</v>
      </c>
    </row>
    <row r="25" spans="1:6" ht="14.5" customHeight="1" x14ac:dyDescent="0.35">
      <c r="A25" s="103">
        <v>40848</v>
      </c>
      <c r="B25" s="104">
        <v>3.96</v>
      </c>
      <c r="C25" s="104"/>
      <c r="D25" s="104">
        <v>1967.18</v>
      </c>
      <c r="E25" s="104">
        <v>2.62</v>
      </c>
      <c r="F25" s="104">
        <v>9.4934999999999992</v>
      </c>
    </row>
    <row r="26" spans="1:6" ht="14.5" customHeight="1" x14ac:dyDescent="0.35">
      <c r="A26" s="103">
        <v>40878</v>
      </c>
      <c r="B26" s="104">
        <v>3.73</v>
      </c>
      <c r="C26" s="104"/>
      <c r="D26" s="104">
        <v>1942.7</v>
      </c>
      <c r="E26" s="104">
        <v>1.500538145644148</v>
      </c>
      <c r="F26" s="104">
        <v>10.0677</v>
      </c>
    </row>
    <row r="27" spans="1:6" ht="14.5" customHeight="1" x14ac:dyDescent="0.35">
      <c r="A27" s="103">
        <v>40909</v>
      </c>
      <c r="B27" s="104">
        <v>3.54</v>
      </c>
      <c r="C27" s="104"/>
      <c r="D27" s="104">
        <v>1815.08</v>
      </c>
      <c r="E27" s="104">
        <v>-2.31</v>
      </c>
      <c r="F27" s="104">
        <v>12.7911</v>
      </c>
    </row>
    <row r="28" spans="1:6" ht="14.5" customHeight="1" x14ac:dyDescent="0.35">
      <c r="A28" s="103">
        <v>40940</v>
      </c>
      <c r="B28" s="104">
        <v>3.55</v>
      </c>
      <c r="C28" s="104"/>
      <c r="D28" s="104">
        <v>1767.83</v>
      </c>
      <c r="E28" s="104">
        <v>-6.74</v>
      </c>
      <c r="F28" s="104">
        <v>12.074999999999999</v>
      </c>
    </row>
    <row r="29" spans="1:6" ht="14.5" customHeight="1" x14ac:dyDescent="0.35">
      <c r="A29" s="103">
        <v>40969</v>
      </c>
      <c r="B29" s="104">
        <v>3.4</v>
      </c>
      <c r="C29" s="104"/>
      <c r="D29" s="104">
        <v>1792.07</v>
      </c>
      <c r="E29" s="104">
        <v>-4.6500000000000004</v>
      </c>
      <c r="F29" s="104">
        <v>10.5024</v>
      </c>
    </row>
    <row r="30" spans="1:6" ht="14.5" customHeight="1" x14ac:dyDescent="0.35">
      <c r="A30" s="103">
        <v>41000</v>
      </c>
      <c r="B30" s="104">
        <v>3.43</v>
      </c>
      <c r="C30" s="104"/>
      <c r="D30" s="104">
        <v>1761.2</v>
      </c>
      <c r="E30" s="104">
        <v>-0.4</v>
      </c>
      <c r="F30" s="104">
        <v>11.087</v>
      </c>
    </row>
    <row r="31" spans="1:6" ht="14.5" customHeight="1" x14ac:dyDescent="0.35">
      <c r="A31" s="103">
        <v>41030</v>
      </c>
      <c r="B31" s="104">
        <v>3.44</v>
      </c>
      <c r="C31" s="104"/>
      <c r="D31" s="104">
        <v>1827.83</v>
      </c>
      <c r="E31" s="104">
        <v>0.57999999999999996</v>
      </c>
      <c r="F31" s="104">
        <v>10.994999999999999</v>
      </c>
    </row>
    <row r="32" spans="1:6" ht="14.5" customHeight="1" x14ac:dyDescent="0.35">
      <c r="A32" s="103">
        <v>41061</v>
      </c>
      <c r="B32" s="104">
        <v>3.2</v>
      </c>
      <c r="C32" s="104"/>
      <c r="D32" s="104">
        <v>1784.6</v>
      </c>
      <c r="E32" s="104">
        <v>0.25</v>
      </c>
      <c r="F32" s="104">
        <v>10.2437</v>
      </c>
    </row>
    <row r="33" spans="1:6" ht="14.5" customHeight="1" x14ac:dyDescent="0.35">
      <c r="A33" s="103">
        <v>41091</v>
      </c>
      <c r="B33" s="104">
        <v>3.03</v>
      </c>
      <c r="C33" s="104"/>
      <c r="D33" s="104">
        <v>1789.02</v>
      </c>
      <c r="E33" s="104">
        <v>0.63</v>
      </c>
      <c r="F33" s="104">
        <v>11.155799999999999</v>
      </c>
    </row>
    <row r="34" spans="1:6" ht="14.5" customHeight="1" x14ac:dyDescent="0.35">
      <c r="A34" s="103">
        <v>41122</v>
      </c>
      <c r="B34" s="104">
        <v>3.11</v>
      </c>
      <c r="C34" s="104">
        <v>4.7699999999999996</v>
      </c>
      <c r="D34" s="104">
        <v>1830.5</v>
      </c>
      <c r="E34" s="104">
        <v>2.63</v>
      </c>
      <c r="F34" s="104">
        <v>9.9893000000000001</v>
      </c>
    </row>
    <row r="35" spans="1:6" ht="14.5" customHeight="1" x14ac:dyDescent="0.35">
      <c r="A35" s="103">
        <v>41153</v>
      </c>
      <c r="B35" s="104">
        <v>3.08</v>
      </c>
      <c r="C35" s="104">
        <v>4.5679999999999996</v>
      </c>
      <c r="D35" s="104">
        <v>1800.52</v>
      </c>
      <c r="E35" s="104">
        <v>-5.98</v>
      </c>
      <c r="F35" s="104">
        <v>10.144399999999999</v>
      </c>
    </row>
    <row r="36" spans="1:6" ht="14.5" customHeight="1" x14ac:dyDescent="0.35">
      <c r="A36" s="103">
        <v>41183</v>
      </c>
      <c r="B36" s="104">
        <v>3.06</v>
      </c>
      <c r="C36" s="104">
        <v>4.7110000000000003</v>
      </c>
      <c r="D36" s="104">
        <v>1829.89</v>
      </c>
      <c r="E36" s="104">
        <v>-1.78</v>
      </c>
      <c r="F36" s="104">
        <v>9.1692</v>
      </c>
    </row>
    <row r="37" spans="1:6" ht="14.5" customHeight="1" x14ac:dyDescent="0.35">
      <c r="A37" s="103">
        <v>41214</v>
      </c>
      <c r="B37" s="104">
        <v>2.77</v>
      </c>
      <c r="C37" s="104">
        <v>4.5030000000000001</v>
      </c>
      <c r="D37" s="104">
        <v>1817.93</v>
      </c>
      <c r="E37" s="104">
        <v>-7.59</v>
      </c>
      <c r="F37" s="104">
        <v>9.4619</v>
      </c>
    </row>
    <row r="38" spans="1:6" ht="14.5" customHeight="1" x14ac:dyDescent="0.35">
      <c r="A38" s="103">
        <v>41244</v>
      </c>
      <c r="B38" s="104">
        <v>2.44</v>
      </c>
      <c r="C38" s="104">
        <v>4.218</v>
      </c>
      <c r="D38" s="104">
        <v>1768.23</v>
      </c>
      <c r="E38" s="104">
        <v>-8.98</v>
      </c>
      <c r="F38" s="104">
        <v>9.9404000000000003</v>
      </c>
    </row>
    <row r="39" spans="1:6" ht="14.5" customHeight="1" x14ac:dyDescent="0.35">
      <c r="A39" s="103">
        <v>41275</v>
      </c>
      <c r="B39" s="104">
        <v>2</v>
      </c>
      <c r="C39" s="104">
        <v>3.8919999999999999</v>
      </c>
      <c r="D39" s="104">
        <v>1773.24</v>
      </c>
      <c r="E39" s="104">
        <v>-2.31</v>
      </c>
      <c r="F39" s="104">
        <v>12.3415</v>
      </c>
    </row>
    <row r="40" spans="1:6" ht="14.5" customHeight="1" x14ac:dyDescent="0.35">
      <c r="A40" s="103">
        <v>41306</v>
      </c>
      <c r="B40" s="104">
        <v>1.83</v>
      </c>
      <c r="C40" s="104">
        <v>3.6190000000000002</v>
      </c>
      <c r="D40" s="104">
        <v>1816.42</v>
      </c>
      <c r="E40" s="104">
        <v>2.75</v>
      </c>
      <c r="F40" s="104">
        <v>12.0105</v>
      </c>
    </row>
    <row r="41" spans="1:6" ht="14.5" customHeight="1" x14ac:dyDescent="0.35">
      <c r="A41" s="103">
        <v>41334</v>
      </c>
      <c r="B41" s="104">
        <v>1.91</v>
      </c>
      <c r="C41" s="104">
        <v>3.2010000000000001</v>
      </c>
      <c r="D41" s="104">
        <v>1832.2</v>
      </c>
      <c r="E41" s="104">
        <v>2.2400000000000002</v>
      </c>
      <c r="F41" s="104">
        <v>10.383800000000001</v>
      </c>
    </row>
    <row r="42" spans="1:6" ht="14.5" customHeight="1" x14ac:dyDescent="0.35">
      <c r="A42" s="103">
        <v>41365</v>
      </c>
      <c r="B42" s="104">
        <v>2.02</v>
      </c>
      <c r="C42" s="104">
        <v>3.17</v>
      </c>
      <c r="D42" s="104">
        <v>1828.79</v>
      </c>
      <c r="E42" s="104">
        <v>3.84</v>
      </c>
      <c r="F42" s="104">
        <v>10.4518</v>
      </c>
    </row>
    <row r="43" spans="1:6" ht="14.5" customHeight="1" x14ac:dyDescent="0.35">
      <c r="A43" s="103">
        <v>41395</v>
      </c>
      <c r="B43" s="104">
        <v>2</v>
      </c>
      <c r="C43" s="104">
        <v>3.2330000000000001</v>
      </c>
      <c r="D43" s="104">
        <v>1891.48</v>
      </c>
      <c r="E43" s="104">
        <v>3.48</v>
      </c>
      <c r="F43" s="104">
        <v>9.8203999999999994</v>
      </c>
    </row>
    <row r="44" spans="1:6" ht="14.5" customHeight="1" x14ac:dyDescent="0.35">
      <c r="A44" s="103">
        <v>41426</v>
      </c>
      <c r="B44" s="104">
        <v>2.16</v>
      </c>
      <c r="C44" s="104">
        <v>3.2370000000000001</v>
      </c>
      <c r="D44" s="104">
        <v>1929</v>
      </c>
      <c r="E44" s="104">
        <v>8.09</v>
      </c>
      <c r="F44" s="104">
        <v>9.5105000000000004</v>
      </c>
    </row>
    <row r="45" spans="1:6" ht="14.5" customHeight="1" x14ac:dyDescent="0.35">
      <c r="A45" s="103">
        <v>41456</v>
      </c>
      <c r="B45" s="104">
        <v>2.2200000000000002</v>
      </c>
      <c r="C45" s="104">
        <v>3.266</v>
      </c>
      <c r="D45" s="104">
        <v>1890.33</v>
      </c>
      <c r="E45" s="104">
        <v>5.66</v>
      </c>
      <c r="F45" s="104">
        <v>10.162599999999999</v>
      </c>
    </row>
    <row r="46" spans="1:6" ht="14.5" customHeight="1" x14ac:dyDescent="0.35">
      <c r="A46" s="103">
        <v>41487</v>
      </c>
      <c r="B46" s="104">
        <v>2.27</v>
      </c>
      <c r="C46" s="104">
        <v>3.2610000000000001</v>
      </c>
      <c r="D46" s="104">
        <v>1935.43</v>
      </c>
      <c r="E46" s="104">
        <v>5.73</v>
      </c>
      <c r="F46" s="104">
        <v>9.6613000000000007</v>
      </c>
    </row>
    <row r="47" spans="1:6" ht="14.5" customHeight="1" x14ac:dyDescent="0.35">
      <c r="A47" s="103">
        <v>41518</v>
      </c>
      <c r="B47" s="104">
        <v>2.27</v>
      </c>
      <c r="C47" s="104">
        <v>3.27</v>
      </c>
      <c r="D47" s="104">
        <v>1914.65</v>
      </c>
      <c r="E47" s="104">
        <v>6.34</v>
      </c>
      <c r="F47" s="104">
        <v>9.1692</v>
      </c>
    </row>
    <row r="48" spans="1:6" ht="14.5" customHeight="1" x14ac:dyDescent="0.35">
      <c r="A48" s="103">
        <v>41548</v>
      </c>
      <c r="B48" s="104">
        <v>1.84</v>
      </c>
      <c r="C48" s="104">
        <v>3.274</v>
      </c>
      <c r="D48" s="104">
        <v>1884.06</v>
      </c>
      <c r="E48" s="104">
        <v>2.96</v>
      </c>
      <c r="F48" s="104">
        <v>8.1300000000000008</v>
      </c>
    </row>
    <row r="49" spans="1:6" ht="14.5" customHeight="1" x14ac:dyDescent="0.35">
      <c r="A49" s="103">
        <v>41579</v>
      </c>
      <c r="B49" s="104">
        <v>1.76</v>
      </c>
      <c r="C49" s="104">
        <v>3.222</v>
      </c>
      <c r="D49" s="104">
        <v>1931.88</v>
      </c>
      <c r="E49" s="104">
        <v>6.27</v>
      </c>
      <c r="F49" s="104">
        <v>8.6267999999999994</v>
      </c>
    </row>
    <row r="50" spans="1:6" ht="14.5" customHeight="1" x14ac:dyDescent="0.35">
      <c r="A50" s="103">
        <v>41609</v>
      </c>
      <c r="B50" s="104">
        <v>1.94</v>
      </c>
      <c r="C50" s="104">
        <v>3.2490000000000001</v>
      </c>
      <c r="D50" s="104">
        <v>1926.83</v>
      </c>
      <c r="E50" s="104">
        <v>8.9700000000000006</v>
      </c>
      <c r="F50" s="104">
        <v>8.6472999999999995</v>
      </c>
    </row>
    <row r="51" spans="1:6" ht="14.5" customHeight="1" x14ac:dyDescent="0.35">
      <c r="A51" s="103">
        <v>41640</v>
      </c>
      <c r="B51" s="104">
        <v>2.13</v>
      </c>
      <c r="C51" s="104">
        <v>3.2730000000000001</v>
      </c>
      <c r="D51" s="104">
        <v>2008.26</v>
      </c>
      <c r="E51" s="104">
        <v>13.25</v>
      </c>
      <c r="F51" s="104">
        <v>11.532400000000001</v>
      </c>
    </row>
    <row r="52" spans="1:6" ht="14.5" customHeight="1" x14ac:dyDescent="0.35">
      <c r="A52" s="103">
        <v>41671</v>
      </c>
      <c r="B52" s="104">
        <v>2.3199999999999998</v>
      </c>
      <c r="C52" s="104">
        <v>3.278</v>
      </c>
      <c r="D52" s="104">
        <v>2054.9</v>
      </c>
      <c r="E52" s="104">
        <v>13.13</v>
      </c>
      <c r="F52" s="104">
        <v>11.0878</v>
      </c>
    </row>
    <row r="53" spans="1:6" ht="14.5" customHeight="1" x14ac:dyDescent="0.35">
      <c r="A53" s="103">
        <v>41699</v>
      </c>
      <c r="B53" s="104">
        <v>2.5099999999999998</v>
      </c>
      <c r="C53" s="104">
        <v>3.254</v>
      </c>
      <c r="D53" s="104">
        <v>1965.32</v>
      </c>
      <c r="E53" s="104">
        <v>7.27</v>
      </c>
      <c r="F53" s="104">
        <v>9.8445</v>
      </c>
    </row>
    <row r="54" spans="1:6" ht="14.5" customHeight="1" x14ac:dyDescent="0.35">
      <c r="A54" s="103">
        <v>41730</v>
      </c>
      <c r="B54" s="104">
        <v>2.72</v>
      </c>
      <c r="C54" s="104">
        <v>3.722</v>
      </c>
      <c r="D54" s="104">
        <v>1935.14</v>
      </c>
      <c r="E54" s="104">
        <v>5.82</v>
      </c>
      <c r="F54" s="104">
        <v>9.3084000000000007</v>
      </c>
    </row>
    <row r="55" spans="1:6" ht="14.5" customHeight="1" x14ac:dyDescent="0.35">
      <c r="A55" s="103">
        <v>41760</v>
      </c>
      <c r="B55" s="104">
        <v>2.93</v>
      </c>
      <c r="C55" s="104">
        <v>3.8719999999999999</v>
      </c>
      <c r="D55" s="104">
        <v>1900.64</v>
      </c>
      <c r="E55" s="104">
        <v>0.48</v>
      </c>
      <c r="F55" s="104">
        <v>9.0673999999999992</v>
      </c>
    </row>
    <row r="56" spans="1:6" ht="14.5" customHeight="1" x14ac:dyDescent="0.35">
      <c r="A56" s="103">
        <v>41791</v>
      </c>
      <c r="B56" s="104">
        <v>2.79</v>
      </c>
      <c r="C56" s="104">
        <v>4.2530000000000001</v>
      </c>
      <c r="D56" s="104">
        <v>1881.19</v>
      </c>
      <c r="E56" s="104">
        <v>-2.48</v>
      </c>
      <c r="F56" s="104">
        <v>9.4018999999999995</v>
      </c>
    </row>
    <row r="57" spans="1:6" ht="14.5" customHeight="1" x14ac:dyDescent="0.35">
      <c r="A57" s="103">
        <v>41821</v>
      </c>
      <c r="B57" s="104">
        <v>2.89</v>
      </c>
      <c r="C57" s="104">
        <v>4.351</v>
      </c>
      <c r="D57" s="104">
        <v>1872.43</v>
      </c>
      <c r="E57" s="104">
        <v>-0.95</v>
      </c>
      <c r="F57" s="104">
        <v>9.6865000000000006</v>
      </c>
    </row>
    <row r="58" spans="1:6" ht="14.5" customHeight="1" x14ac:dyDescent="0.35">
      <c r="A58" s="103">
        <v>41852</v>
      </c>
      <c r="B58" s="104">
        <v>3.02</v>
      </c>
      <c r="C58" s="104">
        <v>4.484</v>
      </c>
      <c r="D58" s="104">
        <v>1918.62</v>
      </c>
      <c r="E58" s="104">
        <v>-0.86999999999999988</v>
      </c>
      <c r="F58" s="104">
        <v>9.16</v>
      </c>
    </row>
    <row r="59" spans="1:6" ht="14.5" customHeight="1" x14ac:dyDescent="0.35">
      <c r="A59" s="103">
        <v>41883</v>
      </c>
      <c r="B59" s="104">
        <v>2.86</v>
      </c>
      <c r="C59" s="104">
        <v>4.5129999999999999</v>
      </c>
      <c r="D59" s="104">
        <v>2028.48</v>
      </c>
      <c r="E59" s="104">
        <v>5.95</v>
      </c>
      <c r="F59" s="104">
        <v>8.6057000000000006</v>
      </c>
    </row>
    <row r="60" spans="1:6" ht="14.5" customHeight="1" x14ac:dyDescent="0.35">
      <c r="A60" s="103">
        <v>41913</v>
      </c>
      <c r="B60" s="104">
        <v>3.29</v>
      </c>
      <c r="C60" s="104">
        <v>4.5049999999999999</v>
      </c>
      <c r="D60" s="104">
        <v>2050.52</v>
      </c>
      <c r="E60" s="104">
        <v>8.8351751005806722</v>
      </c>
      <c r="F60" s="104">
        <v>8.0952999999999999</v>
      </c>
    </row>
    <row r="61" spans="1:6" ht="14.5" customHeight="1" x14ac:dyDescent="0.35">
      <c r="A61" s="103">
        <v>41944</v>
      </c>
      <c r="B61" s="104">
        <v>3.65</v>
      </c>
      <c r="C61" s="104">
        <v>4.4909999999999997</v>
      </c>
      <c r="D61" s="104">
        <v>2206.19</v>
      </c>
      <c r="E61" s="104">
        <v>14.19912209868108</v>
      </c>
      <c r="F61" s="104">
        <v>8.0622000000000007</v>
      </c>
    </row>
    <row r="62" spans="1:6" ht="14.5" customHeight="1" x14ac:dyDescent="0.35">
      <c r="A62" s="103">
        <v>41974</v>
      </c>
      <c r="B62" s="104">
        <v>3.66</v>
      </c>
      <c r="C62" s="104">
        <v>4.4950000000000001</v>
      </c>
      <c r="D62" s="104">
        <v>2392.46</v>
      </c>
      <c r="E62" s="104">
        <v>24.1655984181272</v>
      </c>
      <c r="F62" s="104">
        <v>9.0374999999999996</v>
      </c>
    </row>
    <row r="63" spans="1:6" ht="14.5" customHeight="1" x14ac:dyDescent="0.35">
      <c r="A63" s="103">
        <v>42005</v>
      </c>
      <c r="B63" s="104">
        <v>3.82</v>
      </c>
      <c r="C63" s="104">
        <v>4.4640000000000004</v>
      </c>
      <c r="D63" s="104">
        <v>2441.1</v>
      </c>
      <c r="E63" s="104">
        <v>21.55</v>
      </c>
      <c r="F63" s="104">
        <v>11.1517</v>
      </c>
    </row>
    <row r="64" spans="1:6" ht="14.5" customHeight="1" x14ac:dyDescent="0.35">
      <c r="A64" s="103">
        <v>42036</v>
      </c>
      <c r="B64" s="104">
        <v>4.3600000000000003</v>
      </c>
      <c r="C64" s="104">
        <v>4.47</v>
      </c>
      <c r="D64" s="104">
        <v>2496.9899999999998</v>
      </c>
      <c r="E64" s="104">
        <v>21.51</v>
      </c>
      <c r="F64" s="104">
        <v>10.227600000000001</v>
      </c>
    </row>
    <row r="65" spans="1:6" ht="14.5" customHeight="1" x14ac:dyDescent="0.35">
      <c r="A65" s="103">
        <v>42064</v>
      </c>
      <c r="B65" s="104">
        <v>4.5599999999999996</v>
      </c>
      <c r="C65" s="104">
        <v>4.5270000000000001</v>
      </c>
      <c r="D65" s="104">
        <v>2576.0500000000002</v>
      </c>
      <c r="E65" s="104">
        <v>31.08</v>
      </c>
      <c r="F65" s="104">
        <v>9.1227999999999998</v>
      </c>
    </row>
    <row r="66" spans="1:6" ht="14.5" customHeight="1" x14ac:dyDescent="0.35">
      <c r="A66" s="103">
        <v>42095</v>
      </c>
      <c r="B66" s="104">
        <v>4.6399999999999997</v>
      </c>
      <c r="C66" s="104">
        <v>4.5220000000000002</v>
      </c>
      <c r="D66" s="104">
        <v>2388.06</v>
      </c>
      <c r="E66" s="104">
        <v>23.41</v>
      </c>
      <c r="F66" s="104">
        <v>9.7372999999999994</v>
      </c>
    </row>
    <row r="67" spans="1:6" ht="14.5" customHeight="1" x14ac:dyDescent="0.35">
      <c r="A67" s="103">
        <v>42125</v>
      </c>
      <c r="B67" s="104">
        <v>4.41</v>
      </c>
      <c r="C67" s="104">
        <v>4.5069999999999997</v>
      </c>
      <c r="D67" s="104">
        <v>2533.79</v>
      </c>
      <c r="E67" s="104">
        <v>33.31</v>
      </c>
      <c r="F67" s="104">
        <v>9.2216000000000005</v>
      </c>
    </row>
    <row r="68" spans="1:6" ht="14.5" customHeight="1" x14ac:dyDescent="0.35">
      <c r="A68" s="103">
        <v>42156</v>
      </c>
      <c r="B68" s="104">
        <v>4.42</v>
      </c>
      <c r="C68" s="104">
        <v>4.5129999999999999</v>
      </c>
      <c r="D68" s="104">
        <v>2585.11</v>
      </c>
      <c r="E68" s="104">
        <v>37.419999999999987</v>
      </c>
      <c r="F68" s="104">
        <v>8.4986999999999995</v>
      </c>
    </row>
    <row r="69" spans="1:6" ht="14.5" customHeight="1" x14ac:dyDescent="0.35">
      <c r="A69" s="103">
        <v>42186</v>
      </c>
      <c r="B69" s="104">
        <v>4.46</v>
      </c>
      <c r="C69" s="104">
        <v>4.5369999999999999</v>
      </c>
      <c r="D69" s="104">
        <v>2866.04</v>
      </c>
      <c r="E69" s="104">
        <v>53.069999999999993</v>
      </c>
      <c r="F69" s="104">
        <v>9.2236999999999991</v>
      </c>
    </row>
    <row r="70" spans="1:6" ht="14.5" customHeight="1" x14ac:dyDescent="0.35">
      <c r="A70" s="103">
        <v>42217</v>
      </c>
      <c r="B70" s="104">
        <v>4.74</v>
      </c>
      <c r="C70" s="104">
        <v>4.7149999999999999</v>
      </c>
      <c r="D70" s="104">
        <v>3101.1</v>
      </c>
      <c r="E70" s="104">
        <v>61.63000000000001</v>
      </c>
      <c r="F70" s="104">
        <v>9.3035999999999994</v>
      </c>
    </row>
    <row r="71" spans="1:6" ht="14.5" customHeight="1" x14ac:dyDescent="0.35">
      <c r="A71" s="103">
        <v>42248</v>
      </c>
      <c r="B71" s="104">
        <v>5.35</v>
      </c>
      <c r="C71" s="104">
        <v>4.9770000000000003</v>
      </c>
      <c r="D71" s="104">
        <v>3121.94</v>
      </c>
      <c r="E71" s="104">
        <v>53.909999999999989</v>
      </c>
      <c r="F71" s="104">
        <v>9.0681999999999992</v>
      </c>
    </row>
    <row r="72" spans="1:6" ht="14.5" customHeight="1" x14ac:dyDescent="0.35">
      <c r="A72" s="103">
        <v>42278</v>
      </c>
      <c r="B72" s="104">
        <v>5.89</v>
      </c>
      <c r="C72" s="104">
        <v>5.3869999999999996</v>
      </c>
      <c r="D72" s="104">
        <v>2897.83</v>
      </c>
      <c r="E72" s="104">
        <v>41.32</v>
      </c>
      <c r="F72" s="104">
        <v>8.4384999999999994</v>
      </c>
    </row>
    <row r="73" spans="1:6" ht="14.5" customHeight="1" x14ac:dyDescent="0.35">
      <c r="A73" s="103">
        <v>42309</v>
      </c>
      <c r="B73" s="104">
        <v>6.39</v>
      </c>
      <c r="C73" s="104">
        <v>5.8419999999999996</v>
      </c>
      <c r="D73" s="104">
        <v>3101.1</v>
      </c>
      <c r="E73" s="104">
        <v>40.56</v>
      </c>
      <c r="F73" s="104">
        <v>7.5631000000000004</v>
      </c>
    </row>
    <row r="74" spans="1:6" ht="14.5" customHeight="1" x14ac:dyDescent="0.35">
      <c r="A74" s="103">
        <v>42339</v>
      </c>
      <c r="B74" s="104">
        <v>6.77</v>
      </c>
      <c r="C74" s="104">
        <v>6.0679999999999996</v>
      </c>
      <c r="D74" s="104">
        <v>3149.47</v>
      </c>
      <c r="E74" s="104">
        <v>31.64</v>
      </c>
      <c r="F74" s="104">
        <v>8.8226999999999993</v>
      </c>
    </row>
    <row r="75" spans="1:6" ht="14.5" customHeight="1" x14ac:dyDescent="0.35">
      <c r="A75" s="103">
        <v>42370</v>
      </c>
      <c r="B75" s="104">
        <v>7.45</v>
      </c>
      <c r="C75" s="104">
        <v>6.3170000000000002</v>
      </c>
      <c r="D75" s="104">
        <v>3287.31</v>
      </c>
      <c r="E75" s="104">
        <v>34.67</v>
      </c>
      <c r="F75" s="104">
        <v>12.1784</v>
      </c>
    </row>
    <row r="76" spans="1:6" ht="14.5" customHeight="1" x14ac:dyDescent="0.35">
      <c r="A76" s="103">
        <v>42401</v>
      </c>
      <c r="B76" s="104">
        <v>7.59</v>
      </c>
      <c r="C76" s="104">
        <v>6.5789999999999997</v>
      </c>
      <c r="D76" s="104">
        <v>3306</v>
      </c>
      <c r="E76" s="104">
        <v>32.4</v>
      </c>
      <c r="F76" s="104">
        <v>10.367800000000001</v>
      </c>
    </row>
    <row r="77" spans="1:6" ht="14.5" customHeight="1" x14ac:dyDescent="0.35">
      <c r="A77" s="103">
        <v>42430</v>
      </c>
      <c r="B77" s="104">
        <v>7.98</v>
      </c>
      <c r="C77" s="104">
        <v>6.7229999999999999</v>
      </c>
      <c r="D77" s="104">
        <v>3022.35</v>
      </c>
      <c r="E77" s="104">
        <v>17.32</v>
      </c>
      <c r="F77" s="104">
        <v>10.464600000000001</v>
      </c>
    </row>
    <row r="78" spans="1:6" ht="14.5" customHeight="1" x14ac:dyDescent="0.35">
      <c r="A78" s="103">
        <v>42461</v>
      </c>
      <c r="B78" s="104">
        <v>7.93</v>
      </c>
      <c r="C78" s="104">
        <v>6.9829999999999997</v>
      </c>
      <c r="D78" s="104">
        <v>2851.14</v>
      </c>
      <c r="E78" s="104">
        <v>19.39</v>
      </c>
      <c r="F78" s="104">
        <v>9.3194999999999997</v>
      </c>
    </row>
    <row r="79" spans="1:6" ht="14.5" customHeight="1" x14ac:dyDescent="0.35">
      <c r="A79" s="103">
        <v>42491</v>
      </c>
      <c r="B79" s="104">
        <v>8.1999999999999993</v>
      </c>
      <c r="C79" s="104">
        <v>7.3789999999999996</v>
      </c>
      <c r="D79" s="104">
        <v>3069.17</v>
      </c>
      <c r="E79" s="104">
        <v>21.13</v>
      </c>
      <c r="F79" s="104">
        <v>9.2373999999999992</v>
      </c>
    </row>
    <row r="80" spans="1:6" ht="14.5" customHeight="1" x14ac:dyDescent="0.35">
      <c r="A80" s="103">
        <v>42522</v>
      </c>
      <c r="B80" s="104">
        <v>8.6</v>
      </c>
      <c r="C80" s="104">
        <v>7.5389999999999997</v>
      </c>
      <c r="D80" s="104">
        <v>2916.15</v>
      </c>
      <c r="E80" s="104">
        <v>12.81</v>
      </c>
      <c r="F80" s="104">
        <v>9.19</v>
      </c>
    </row>
    <row r="81" spans="1:6" ht="14.5" customHeight="1" x14ac:dyDescent="0.35">
      <c r="A81" s="103">
        <v>42552</v>
      </c>
      <c r="B81" s="104">
        <v>8.9700000000000006</v>
      </c>
      <c r="C81" s="104">
        <v>7.6909999999999998</v>
      </c>
      <c r="D81" s="104">
        <v>3081.75</v>
      </c>
      <c r="E81" s="104">
        <v>7.53</v>
      </c>
      <c r="F81" s="104">
        <v>10.2006</v>
      </c>
    </row>
    <row r="82" spans="1:6" ht="14.5" customHeight="1" x14ac:dyDescent="0.35">
      <c r="A82" s="103">
        <v>42583</v>
      </c>
      <c r="B82" s="104">
        <v>8.1</v>
      </c>
      <c r="C82" s="104">
        <v>7.8239999999999998</v>
      </c>
      <c r="D82" s="104">
        <v>2933.82</v>
      </c>
      <c r="E82" s="104">
        <v>-5.39</v>
      </c>
      <c r="F82" s="104">
        <v>9.2325999999999997</v>
      </c>
    </row>
    <row r="83" spans="1:6" ht="14.5" customHeight="1" x14ac:dyDescent="0.35">
      <c r="A83" s="103">
        <v>42614</v>
      </c>
      <c r="B83" s="104">
        <v>7.27</v>
      </c>
      <c r="C83" s="104">
        <v>7.7359999999999998</v>
      </c>
      <c r="D83" s="104">
        <v>2879.95</v>
      </c>
      <c r="E83" s="104">
        <v>-7.75</v>
      </c>
      <c r="F83" s="104">
        <v>8.8534000000000006</v>
      </c>
    </row>
    <row r="84" spans="1:6" ht="14.5" customHeight="1" x14ac:dyDescent="0.35">
      <c r="A84" s="103">
        <v>42644</v>
      </c>
      <c r="B84" s="104">
        <v>6.48</v>
      </c>
      <c r="C84" s="104">
        <v>7.7050000000000001</v>
      </c>
      <c r="D84" s="104">
        <v>2967.66</v>
      </c>
      <c r="E84" s="104">
        <v>2.4097341804039552</v>
      </c>
      <c r="F84" s="104">
        <v>8.6280000000000001</v>
      </c>
    </row>
    <row r="85" spans="1:6" ht="14.5" customHeight="1" x14ac:dyDescent="0.35">
      <c r="A85" s="103">
        <v>42675</v>
      </c>
      <c r="B85" s="104">
        <v>5.96</v>
      </c>
      <c r="C85" s="104">
        <v>7.6319999999999997</v>
      </c>
      <c r="D85" s="104">
        <v>3165.09</v>
      </c>
      <c r="E85" s="104">
        <v>2.0634613524233458</v>
      </c>
      <c r="F85" s="104">
        <v>7.7732000000000001</v>
      </c>
    </row>
    <row r="86" spans="1:6" ht="14.5" customHeight="1" x14ac:dyDescent="0.35">
      <c r="A86" s="103">
        <v>42705</v>
      </c>
      <c r="B86" s="104">
        <v>5.75</v>
      </c>
      <c r="C86" s="104">
        <v>7.2039999999999997</v>
      </c>
      <c r="D86" s="104">
        <v>3000.71</v>
      </c>
      <c r="E86" s="104">
        <v>-4.7233344022962527</v>
      </c>
      <c r="F86" s="104">
        <v>9.0970999999999993</v>
      </c>
    </row>
    <row r="87" spans="1:6" ht="14.5" customHeight="1" x14ac:dyDescent="0.35">
      <c r="A87" s="103">
        <v>42736</v>
      </c>
      <c r="B87" s="104">
        <v>5.47</v>
      </c>
      <c r="C87" s="104">
        <v>7.3319999999999999</v>
      </c>
      <c r="D87" s="104">
        <v>2936.66</v>
      </c>
      <c r="E87" s="104">
        <v>-10.67</v>
      </c>
      <c r="F87" s="104">
        <v>11.956899999999999</v>
      </c>
    </row>
    <row r="88" spans="1:6" ht="14.5" customHeight="1" x14ac:dyDescent="0.35">
      <c r="A88" s="103">
        <v>42767</v>
      </c>
      <c r="B88" s="104">
        <v>5.18</v>
      </c>
      <c r="C88" s="104">
        <v>7.03</v>
      </c>
      <c r="D88" s="104">
        <v>2896.27</v>
      </c>
      <c r="E88" s="104">
        <v>-12.39</v>
      </c>
      <c r="F88" s="104">
        <v>10.872999999999999</v>
      </c>
    </row>
    <row r="89" spans="1:6" ht="14.5" customHeight="1" x14ac:dyDescent="0.35">
      <c r="A89" s="103">
        <v>42795</v>
      </c>
      <c r="B89" s="104">
        <v>4.6900000000000004</v>
      </c>
      <c r="C89" s="104">
        <v>6.6379999999999999</v>
      </c>
      <c r="D89" s="104">
        <v>2880.24</v>
      </c>
      <c r="E89" s="104">
        <v>-4.7</v>
      </c>
      <c r="F89" s="104">
        <v>9.9046000000000003</v>
      </c>
    </row>
    <row r="90" spans="1:6" ht="14.5" customHeight="1" x14ac:dyDescent="0.35">
      <c r="A90" s="103">
        <v>42826</v>
      </c>
      <c r="B90" s="104">
        <v>4.66</v>
      </c>
      <c r="C90" s="104">
        <v>6.1970000000000001</v>
      </c>
      <c r="D90" s="104">
        <v>2947.85</v>
      </c>
      <c r="E90" s="104">
        <v>3.39</v>
      </c>
      <c r="F90" s="104">
        <v>9.1358999999999995</v>
      </c>
    </row>
    <row r="91" spans="1:6" ht="14.5" customHeight="1" x14ac:dyDescent="0.35">
      <c r="A91" s="103">
        <v>42856</v>
      </c>
      <c r="B91" s="104">
        <v>4.37</v>
      </c>
      <c r="C91" s="104">
        <v>5.87</v>
      </c>
      <c r="D91" s="104">
        <v>2920.42</v>
      </c>
      <c r="E91" s="104">
        <v>-4.8500000000000014</v>
      </c>
      <c r="F91" s="104">
        <v>9.8379999999999992</v>
      </c>
    </row>
    <row r="92" spans="1:6" ht="14.5" customHeight="1" x14ac:dyDescent="0.35">
      <c r="A92" s="103">
        <v>42887</v>
      </c>
      <c r="B92" s="104">
        <v>3.99</v>
      </c>
      <c r="C92" s="104">
        <v>5.5039999999999996</v>
      </c>
      <c r="D92" s="104">
        <v>3038.26</v>
      </c>
      <c r="E92" s="104">
        <v>4.1900000000000004</v>
      </c>
      <c r="F92" s="104">
        <v>8.9772999999999996</v>
      </c>
    </row>
    <row r="93" spans="1:6" ht="14.5" customHeight="1" x14ac:dyDescent="0.35">
      <c r="A93" s="103">
        <v>42917</v>
      </c>
      <c r="B93" s="104">
        <v>3.4</v>
      </c>
      <c r="C93" s="104">
        <v>5.3449999999999998</v>
      </c>
      <c r="D93" s="104">
        <v>2995.23</v>
      </c>
      <c r="E93" s="104">
        <v>-2.81</v>
      </c>
      <c r="F93" s="104">
        <v>9.9404000000000003</v>
      </c>
    </row>
    <row r="94" spans="1:6" ht="14.5" customHeight="1" x14ac:dyDescent="0.35">
      <c r="A94" s="103">
        <v>42948</v>
      </c>
      <c r="B94" s="104">
        <v>3.87</v>
      </c>
      <c r="C94" s="104">
        <v>5.1929999999999996</v>
      </c>
      <c r="D94" s="104">
        <v>2937.09</v>
      </c>
      <c r="E94" s="104">
        <v>0.11</v>
      </c>
      <c r="F94" s="104">
        <v>9.5167999999999999</v>
      </c>
    </row>
    <row r="95" spans="1:6" ht="14.5" customHeight="1" x14ac:dyDescent="0.35">
      <c r="A95" s="103">
        <v>42979</v>
      </c>
      <c r="B95" s="104">
        <v>3.97</v>
      </c>
      <c r="C95" s="104">
        <v>5.1459999999999999</v>
      </c>
      <c r="D95" s="104">
        <v>2936.67</v>
      </c>
      <c r="E95" s="104">
        <v>1.97</v>
      </c>
      <c r="F95" s="104">
        <v>9.5469000000000008</v>
      </c>
    </row>
    <row r="96" spans="1:6" ht="14.5" customHeight="1" x14ac:dyDescent="0.35">
      <c r="A96" s="103">
        <v>43009</v>
      </c>
      <c r="B96" s="104">
        <v>4.05</v>
      </c>
      <c r="C96" s="104">
        <v>4.9459999999999997</v>
      </c>
      <c r="D96" s="104">
        <v>3011.44</v>
      </c>
      <c r="E96" s="104">
        <v>1.475236381526202</v>
      </c>
      <c r="F96" s="104">
        <v>8.7399000000000004</v>
      </c>
    </row>
    <row r="97" spans="1:6" ht="14.5" customHeight="1" x14ac:dyDescent="0.35">
      <c r="A97" s="103">
        <v>43040</v>
      </c>
      <c r="B97" s="104">
        <v>4.12</v>
      </c>
      <c r="C97" s="104">
        <v>4.5620000000000003</v>
      </c>
      <c r="D97" s="104">
        <v>3006.09</v>
      </c>
      <c r="E97" s="104">
        <v>-5.0235538325924427</v>
      </c>
      <c r="F97" s="104">
        <v>8.7647999999999993</v>
      </c>
    </row>
    <row r="98" spans="1:6" ht="14.5" customHeight="1" x14ac:dyDescent="0.35">
      <c r="A98" s="103">
        <v>43070</v>
      </c>
      <c r="B98" s="104">
        <v>4.09</v>
      </c>
      <c r="C98" s="104">
        <v>4.6550000000000002</v>
      </c>
      <c r="D98" s="104">
        <v>2984</v>
      </c>
      <c r="E98" s="104">
        <v>-0.55686820785747493</v>
      </c>
      <c r="F98" s="104">
        <v>8.9122000000000003</v>
      </c>
    </row>
    <row r="99" spans="1:6" ht="14.5" customHeight="1" x14ac:dyDescent="0.35">
      <c r="A99" s="103">
        <v>43101</v>
      </c>
      <c r="B99" s="104">
        <v>3.68</v>
      </c>
      <c r="C99" s="104">
        <v>4.4770000000000003</v>
      </c>
      <c r="D99" s="104">
        <v>2844.14</v>
      </c>
      <c r="E99" s="104">
        <v>-3.15</v>
      </c>
      <c r="F99" s="104">
        <v>12.1374</v>
      </c>
    </row>
    <row r="100" spans="1:6" ht="14.5" customHeight="1" x14ac:dyDescent="0.35">
      <c r="A100" s="103">
        <v>43132</v>
      </c>
      <c r="B100" s="104">
        <v>3.37</v>
      </c>
      <c r="C100" s="104">
        <v>4.4130000000000003</v>
      </c>
      <c r="D100" s="104">
        <v>2855.93</v>
      </c>
      <c r="E100" s="104">
        <v>-1.39</v>
      </c>
      <c r="F100" s="104">
        <v>11.1882</v>
      </c>
    </row>
    <row r="101" spans="1:6" ht="14.5" customHeight="1" x14ac:dyDescent="0.35">
      <c r="A101" s="103">
        <v>43160</v>
      </c>
      <c r="B101" s="104">
        <v>3.14</v>
      </c>
      <c r="C101" s="104">
        <v>4.3319999999999999</v>
      </c>
      <c r="D101" s="104">
        <v>2780.47</v>
      </c>
      <c r="E101" s="104">
        <v>-3.46</v>
      </c>
      <c r="F101" s="104">
        <v>9.7715999999999994</v>
      </c>
    </row>
    <row r="102" spans="1:6" ht="14.5" customHeight="1" x14ac:dyDescent="0.35">
      <c r="A102" s="103">
        <v>43191</v>
      </c>
      <c r="B102" s="104">
        <v>3.13</v>
      </c>
      <c r="C102" s="104">
        <v>4.1980000000000004</v>
      </c>
      <c r="D102" s="104">
        <v>2806.28</v>
      </c>
      <c r="E102" s="104">
        <v>-4.8024831656970202</v>
      </c>
      <c r="F102" s="104">
        <v>9.7292000000000005</v>
      </c>
    </row>
    <row r="103" spans="1:6" ht="14.5" customHeight="1" x14ac:dyDescent="0.35">
      <c r="A103" s="103">
        <v>43221</v>
      </c>
      <c r="B103" s="104">
        <v>3.16</v>
      </c>
      <c r="C103" s="104">
        <v>4.202</v>
      </c>
      <c r="D103" s="104">
        <v>2879.32</v>
      </c>
      <c r="E103" s="104">
        <v>-1.4073318221351701</v>
      </c>
      <c r="F103" s="104">
        <v>9.9794999999999998</v>
      </c>
    </row>
    <row r="104" spans="1:6" ht="14.5" customHeight="1" x14ac:dyDescent="0.35">
      <c r="A104" s="103">
        <v>43252</v>
      </c>
      <c r="B104" s="104">
        <v>3.2</v>
      </c>
      <c r="C104" s="104">
        <v>4.2519999999999998</v>
      </c>
      <c r="D104" s="104">
        <v>2930.8</v>
      </c>
      <c r="E104" s="104">
        <v>-3.5368928268153499</v>
      </c>
      <c r="F104" s="104">
        <v>9.3085000000000004</v>
      </c>
    </row>
    <row r="105" spans="1:6" ht="14.5" customHeight="1" x14ac:dyDescent="0.35">
      <c r="A105" s="103">
        <v>43282</v>
      </c>
      <c r="B105" s="104">
        <v>3.12</v>
      </c>
      <c r="C105" s="104">
        <v>4.2460000000000004</v>
      </c>
      <c r="D105" s="104">
        <v>2875.72</v>
      </c>
      <c r="E105" s="104">
        <v>-3.99</v>
      </c>
      <c r="F105" s="104">
        <v>10.042299999999999</v>
      </c>
    </row>
    <row r="106" spans="1:6" ht="14.5" customHeight="1" x14ac:dyDescent="0.35">
      <c r="A106" s="103">
        <v>43313</v>
      </c>
      <c r="B106" s="104">
        <v>3.1</v>
      </c>
      <c r="C106" s="104">
        <v>4.25</v>
      </c>
      <c r="D106" s="104">
        <v>3027.39</v>
      </c>
      <c r="E106" s="104">
        <v>3.07</v>
      </c>
      <c r="F106" s="104">
        <v>9.4291999999999998</v>
      </c>
    </row>
    <row r="107" spans="1:6" ht="14.5" customHeight="1" x14ac:dyDescent="0.35">
      <c r="A107" s="103">
        <v>43344</v>
      </c>
      <c r="B107" s="104">
        <v>3.23</v>
      </c>
      <c r="C107" s="104">
        <v>4.2560000000000002</v>
      </c>
      <c r="D107" s="104">
        <v>2972.18</v>
      </c>
      <c r="E107" s="104">
        <v>1.21</v>
      </c>
      <c r="F107" s="104">
        <v>9.6707000000000001</v>
      </c>
    </row>
    <row r="108" spans="1:6" ht="14.5" customHeight="1" x14ac:dyDescent="0.35">
      <c r="A108" s="103">
        <v>43374</v>
      </c>
      <c r="B108" s="104">
        <v>3.33</v>
      </c>
      <c r="C108" s="104">
        <v>4.2830000000000004</v>
      </c>
      <c r="D108" s="104">
        <v>3202.44</v>
      </c>
      <c r="E108" s="104">
        <v>6.3424806736976258</v>
      </c>
      <c r="F108" s="104">
        <v>9.3614999999999995</v>
      </c>
    </row>
    <row r="109" spans="1:6" ht="14.5" customHeight="1" x14ac:dyDescent="0.35">
      <c r="A109" s="103">
        <v>43405</v>
      </c>
      <c r="B109" s="104">
        <v>3.27</v>
      </c>
      <c r="C109" s="104">
        <v>4.2779999999999996</v>
      </c>
      <c r="D109" s="104">
        <v>3240.02</v>
      </c>
      <c r="E109" s="104">
        <v>7.7818694716392356</v>
      </c>
      <c r="F109" s="104">
        <v>8.9905000000000008</v>
      </c>
    </row>
    <row r="110" spans="1:6" ht="14.5" customHeight="1" x14ac:dyDescent="0.35">
      <c r="A110" s="103">
        <v>43435</v>
      </c>
      <c r="B110" s="104">
        <v>3.18</v>
      </c>
      <c r="C110" s="104">
        <v>4.2670000000000003</v>
      </c>
      <c r="D110" s="104">
        <v>3249.75</v>
      </c>
      <c r="E110" s="104">
        <v>8.9058310991957157</v>
      </c>
      <c r="F110" s="104">
        <v>9.9891000000000005</v>
      </c>
    </row>
    <row r="111" spans="1:6" ht="14.5" customHeight="1" x14ac:dyDescent="0.35">
      <c r="A111" s="103">
        <v>43466</v>
      </c>
      <c r="B111" s="104">
        <v>3.15</v>
      </c>
      <c r="C111" s="104">
        <v>4.2560000000000002</v>
      </c>
      <c r="D111" s="104">
        <v>3163.46</v>
      </c>
      <c r="E111" s="104">
        <v>11.23</v>
      </c>
      <c r="F111" s="104">
        <v>13.075200000000001</v>
      </c>
    </row>
    <row r="112" spans="1:6" ht="14.5" customHeight="1" x14ac:dyDescent="0.35">
      <c r="A112" s="103">
        <v>43497</v>
      </c>
      <c r="B112" s="104">
        <v>3.01</v>
      </c>
      <c r="C112" s="104">
        <v>4.2649999999999997</v>
      </c>
      <c r="D112" s="104">
        <v>3072.01</v>
      </c>
      <c r="E112" s="104">
        <v>7.57</v>
      </c>
      <c r="F112" s="104">
        <v>12.092599999999999</v>
      </c>
    </row>
    <row r="113" spans="1:6" ht="14.5" customHeight="1" x14ac:dyDescent="0.35">
      <c r="A113" s="103">
        <v>43525</v>
      </c>
      <c r="B113" s="104">
        <v>3.21</v>
      </c>
      <c r="C113" s="104">
        <v>4.26</v>
      </c>
      <c r="D113" s="104">
        <v>3174.79</v>
      </c>
      <c r="E113" s="104">
        <v>14.18</v>
      </c>
      <c r="F113" s="104">
        <v>11.1814</v>
      </c>
    </row>
    <row r="114" spans="1:6" ht="14.5" customHeight="1" x14ac:dyDescent="0.35">
      <c r="A114" s="103">
        <v>43556</v>
      </c>
      <c r="B114" s="104">
        <v>3.25</v>
      </c>
      <c r="C114" s="104">
        <v>4.2590000000000003</v>
      </c>
      <c r="D114" s="104">
        <v>3247.72</v>
      </c>
      <c r="E114" s="104">
        <v>15.73</v>
      </c>
      <c r="F114" s="104">
        <v>10.656599999999999</v>
      </c>
    </row>
    <row r="115" spans="1:6" ht="14.5" customHeight="1" x14ac:dyDescent="0.35">
      <c r="A115" s="103">
        <v>43586</v>
      </c>
      <c r="B115" s="104">
        <v>3.31</v>
      </c>
      <c r="C115" s="104">
        <v>4.2489999999999997</v>
      </c>
      <c r="D115" s="104">
        <v>3357.82</v>
      </c>
      <c r="E115" s="104">
        <v>16.62</v>
      </c>
      <c r="F115" s="104">
        <v>10.9519</v>
      </c>
    </row>
    <row r="116" spans="1:6" ht="14.5" customHeight="1" x14ac:dyDescent="0.35">
      <c r="A116" s="103">
        <v>43617</v>
      </c>
      <c r="B116" s="104">
        <v>3.43</v>
      </c>
      <c r="C116" s="104">
        <v>4.2160000000000002</v>
      </c>
      <c r="D116" s="104">
        <v>3205.67</v>
      </c>
      <c r="E116" s="104">
        <v>9.379999999999999</v>
      </c>
      <c r="F116" s="104">
        <v>9.7228999999999992</v>
      </c>
    </row>
    <row r="117" spans="1:6" ht="14.5" customHeight="1" x14ac:dyDescent="0.35">
      <c r="A117" s="103">
        <v>43647</v>
      </c>
      <c r="B117" s="104">
        <v>3.79</v>
      </c>
      <c r="C117" s="104">
        <v>4.2359999999999998</v>
      </c>
      <c r="D117" s="104">
        <v>3296.85</v>
      </c>
      <c r="E117" s="104">
        <v>14.64</v>
      </c>
      <c r="F117" s="104">
        <v>11.2807</v>
      </c>
    </row>
    <row r="118" spans="1:6" ht="14.5" customHeight="1" x14ac:dyDescent="0.35">
      <c r="A118" s="103">
        <v>43678</v>
      </c>
      <c r="B118" s="104">
        <v>3.75</v>
      </c>
      <c r="C118" s="104">
        <v>4.2569999999999997</v>
      </c>
      <c r="D118" s="104">
        <v>3427.29</v>
      </c>
      <c r="E118" s="104">
        <v>13.21</v>
      </c>
      <c r="F118" s="104">
        <v>11.1973</v>
      </c>
    </row>
    <row r="119" spans="1:6" ht="14.5" customHeight="1" x14ac:dyDescent="0.35">
      <c r="A119" s="103">
        <v>43709</v>
      </c>
      <c r="B119" s="104">
        <v>3.82</v>
      </c>
      <c r="C119" s="104">
        <v>4.25</v>
      </c>
      <c r="D119" s="104">
        <v>3462.01</v>
      </c>
      <c r="E119" s="104">
        <v>16.48</v>
      </c>
      <c r="F119" s="104">
        <v>10.8003</v>
      </c>
    </row>
    <row r="120" spans="1:6" ht="14.5" customHeight="1" x14ac:dyDescent="0.35">
      <c r="A120" s="103">
        <v>43739</v>
      </c>
      <c r="B120" s="104">
        <v>3.86</v>
      </c>
      <c r="C120" s="104">
        <v>4.2629999999999999</v>
      </c>
      <c r="D120" s="104">
        <v>3389.94</v>
      </c>
      <c r="E120" s="104">
        <v>5.85</v>
      </c>
      <c r="F120" s="104">
        <v>10.1236</v>
      </c>
    </row>
    <row r="121" spans="1:6" ht="14.5" customHeight="1" x14ac:dyDescent="0.35">
      <c r="A121" s="103">
        <v>43770</v>
      </c>
      <c r="B121" s="104">
        <v>3.84</v>
      </c>
      <c r="C121" s="104">
        <v>4.26</v>
      </c>
      <c r="D121" s="104">
        <v>3522.48</v>
      </c>
      <c r="E121" s="104">
        <v>8.7200000000000006</v>
      </c>
      <c r="F121" s="104">
        <v>9.6186000000000007</v>
      </c>
    </row>
    <row r="122" spans="1:6" ht="14.5" customHeight="1" x14ac:dyDescent="0.35">
      <c r="A122" s="103">
        <v>43800</v>
      </c>
      <c r="B122" s="104">
        <v>3.8</v>
      </c>
      <c r="C122" s="104">
        <v>4.258</v>
      </c>
      <c r="D122" s="104">
        <v>3277.14</v>
      </c>
      <c r="E122" s="104">
        <v>0.8428340641587706</v>
      </c>
      <c r="F122" s="104">
        <v>9.9497</v>
      </c>
    </row>
    <row r="123" spans="1:6" ht="14.5" customHeight="1" x14ac:dyDescent="0.35">
      <c r="A123" s="103">
        <v>43831</v>
      </c>
      <c r="B123" s="104">
        <v>3.62</v>
      </c>
      <c r="C123" s="104">
        <v>4.258</v>
      </c>
      <c r="D123" s="104">
        <v>3411.45</v>
      </c>
      <c r="E123" s="104">
        <v>7.84</v>
      </c>
      <c r="F123" s="104">
        <v>13.458500000000001</v>
      </c>
    </row>
    <row r="124" spans="1:6" ht="14.5" customHeight="1" x14ac:dyDescent="0.35">
      <c r="A124" s="103">
        <v>43862</v>
      </c>
      <c r="B124" s="104">
        <v>3.72</v>
      </c>
      <c r="C124" s="104">
        <v>4.2519999999999998</v>
      </c>
      <c r="D124" s="104">
        <v>3539.86</v>
      </c>
      <c r="E124" s="104">
        <v>15.23</v>
      </c>
      <c r="F124" s="104">
        <v>12.8131</v>
      </c>
    </row>
    <row r="125" spans="1:6" ht="14.5" customHeight="1" x14ac:dyDescent="0.35">
      <c r="A125" s="103">
        <v>43891</v>
      </c>
      <c r="B125" s="104">
        <v>3.86</v>
      </c>
      <c r="C125" s="104">
        <v>3.3719999999999999</v>
      </c>
      <c r="D125" s="104">
        <v>4064.81</v>
      </c>
      <c r="E125" s="104">
        <v>28.03</v>
      </c>
      <c r="F125" s="104">
        <v>13.1828</v>
      </c>
    </row>
    <row r="126" spans="1:6" ht="14.5" customHeight="1" x14ac:dyDescent="0.35">
      <c r="A126" s="103">
        <v>43922</v>
      </c>
      <c r="B126" s="104">
        <v>3.51</v>
      </c>
      <c r="C126" s="104">
        <v>2.9420000000000002</v>
      </c>
      <c r="D126" s="104">
        <v>3983.29</v>
      </c>
      <c r="E126" s="104">
        <v>22.65</v>
      </c>
      <c r="F126" s="104">
        <v>20.485299999999999</v>
      </c>
    </row>
    <row r="127" spans="1:6" ht="14.5" customHeight="1" x14ac:dyDescent="0.35">
      <c r="A127" s="103">
        <v>43952</v>
      </c>
      <c r="B127" s="104">
        <v>2.85</v>
      </c>
      <c r="C127" s="104">
        <v>2.548</v>
      </c>
      <c r="D127" s="104">
        <v>3718.82</v>
      </c>
      <c r="E127" s="104">
        <v>10.75</v>
      </c>
      <c r="F127" s="104">
        <v>21.972000000000001</v>
      </c>
    </row>
    <row r="128" spans="1:6" ht="14.5" customHeight="1" x14ac:dyDescent="0.35">
      <c r="A128" s="103">
        <v>43983</v>
      </c>
      <c r="B128" s="104">
        <v>2.19</v>
      </c>
      <c r="C128" s="104">
        <v>2.2730000000000001</v>
      </c>
      <c r="D128" s="104">
        <v>3758.91</v>
      </c>
      <c r="E128" s="104">
        <v>17.260000000000002</v>
      </c>
      <c r="F128" s="104">
        <v>20.359100000000002</v>
      </c>
    </row>
    <row r="129" spans="1:6" ht="14.5" customHeight="1" x14ac:dyDescent="0.35">
      <c r="A129" s="103">
        <v>44013</v>
      </c>
      <c r="B129" s="104">
        <v>1.97</v>
      </c>
      <c r="C129" s="104">
        <v>2.141</v>
      </c>
      <c r="D129" s="104">
        <v>3739.49</v>
      </c>
      <c r="E129" s="104">
        <v>13.43</v>
      </c>
      <c r="F129" s="104">
        <v>20.9147</v>
      </c>
    </row>
    <row r="130" spans="1:6" ht="14.5" customHeight="1" x14ac:dyDescent="0.35">
      <c r="A130" s="103">
        <v>44044</v>
      </c>
      <c r="B130" s="104">
        <v>1.88</v>
      </c>
      <c r="C130" s="104">
        <v>2.0630000000000002</v>
      </c>
      <c r="D130" s="104">
        <v>3760.38</v>
      </c>
      <c r="E130" s="104">
        <v>9.7200000000000006</v>
      </c>
      <c r="F130" s="104">
        <v>17.442699999999999</v>
      </c>
    </row>
    <row r="131" spans="1:6" ht="14.5" customHeight="1" x14ac:dyDescent="0.35">
      <c r="A131" s="103">
        <v>44075</v>
      </c>
      <c r="B131" s="104">
        <v>1.97</v>
      </c>
      <c r="C131" s="104">
        <v>1.7370000000000001</v>
      </c>
      <c r="D131" s="104">
        <v>3878.94</v>
      </c>
      <c r="E131" s="104">
        <v>12.04</v>
      </c>
      <c r="F131" s="104">
        <v>16.2928</v>
      </c>
    </row>
    <row r="132" spans="1:6" ht="14.5" customHeight="1" x14ac:dyDescent="0.35">
      <c r="A132" s="103">
        <v>44105</v>
      </c>
      <c r="B132" s="104">
        <v>1.75</v>
      </c>
      <c r="C132" s="104">
        <v>1.7190000000000001</v>
      </c>
      <c r="D132" s="104">
        <v>3858.56</v>
      </c>
      <c r="E132" s="104">
        <v>13.82</v>
      </c>
      <c r="F132" s="104">
        <v>15.2814</v>
      </c>
    </row>
    <row r="133" spans="1:6" ht="14.5" customHeight="1" x14ac:dyDescent="0.35">
      <c r="A133" s="103">
        <v>44136</v>
      </c>
      <c r="B133" s="104">
        <v>1.49</v>
      </c>
      <c r="C133" s="104">
        <v>1.748</v>
      </c>
      <c r="D133" s="104">
        <v>3611.44</v>
      </c>
      <c r="E133" s="104">
        <v>2.5299999999999998</v>
      </c>
      <c r="F133" s="104">
        <v>13.912800000000001</v>
      </c>
    </row>
    <row r="134" spans="1:6" ht="14.5" customHeight="1" x14ac:dyDescent="0.35">
      <c r="A134" s="103">
        <v>44166</v>
      </c>
      <c r="B134" s="104">
        <v>1.61</v>
      </c>
      <c r="C134" s="104">
        <v>1.728</v>
      </c>
      <c r="D134" s="104">
        <v>3432.5</v>
      </c>
      <c r="E134" s="104">
        <v>4.74</v>
      </c>
      <c r="F134" s="104">
        <v>13.914199999999999</v>
      </c>
    </row>
    <row r="135" spans="1:6" ht="14.5" customHeight="1" x14ac:dyDescent="0.35">
      <c r="A135" s="103">
        <v>44197</v>
      </c>
      <c r="B135" s="104">
        <v>1.6</v>
      </c>
      <c r="C135" s="104">
        <v>1.6930000000000001</v>
      </c>
      <c r="D135" s="104">
        <v>3559.46</v>
      </c>
      <c r="E135" s="104">
        <v>4.34</v>
      </c>
      <c r="F135" s="104">
        <v>17.563300000000002</v>
      </c>
    </row>
    <row r="136" spans="1:6" ht="14.5" customHeight="1" x14ac:dyDescent="0.35">
      <c r="A136" s="103">
        <v>44228</v>
      </c>
      <c r="B136" s="104">
        <v>1.56</v>
      </c>
      <c r="C136" s="104">
        <v>1.728</v>
      </c>
      <c r="D136" s="104">
        <v>3624.39</v>
      </c>
      <c r="E136" s="104">
        <v>2.39</v>
      </c>
      <c r="F136" s="104">
        <v>15.5852</v>
      </c>
    </row>
    <row r="137" spans="1:6" ht="14.5" customHeight="1" x14ac:dyDescent="0.35">
      <c r="A137" s="103">
        <v>44256</v>
      </c>
      <c r="B137" s="104">
        <v>1.51</v>
      </c>
      <c r="C137" s="104">
        <v>1.772</v>
      </c>
      <c r="D137" s="104">
        <v>3736.91</v>
      </c>
      <c r="E137" s="104">
        <v>-8.07</v>
      </c>
      <c r="F137" s="104">
        <v>14.7255</v>
      </c>
    </row>
    <row r="138" spans="1:6" ht="14.5" customHeight="1" x14ac:dyDescent="0.35">
      <c r="A138" s="103">
        <v>44287</v>
      </c>
      <c r="B138" s="104">
        <v>1.95</v>
      </c>
      <c r="C138" s="104">
        <v>1.7450000000000001</v>
      </c>
      <c r="D138" s="104">
        <v>3712.89</v>
      </c>
      <c r="E138" s="104">
        <v>-6.79</v>
      </c>
      <c r="F138" s="104">
        <v>15.488</v>
      </c>
    </row>
    <row r="139" spans="1:6" ht="14.5" customHeight="1" x14ac:dyDescent="0.35">
      <c r="A139" s="103">
        <v>44317</v>
      </c>
      <c r="B139" s="104">
        <v>3.3</v>
      </c>
      <c r="C139" s="104">
        <v>1.837</v>
      </c>
      <c r="D139" s="104">
        <v>3715.28</v>
      </c>
      <c r="E139" s="104">
        <v>-0.1</v>
      </c>
      <c r="F139" s="104">
        <v>15.2042</v>
      </c>
    </row>
    <row r="140" spans="1:6" ht="14.5" customHeight="1" x14ac:dyDescent="0.35">
      <c r="A140" s="103">
        <v>44348</v>
      </c>
      <c r="B140" s="104">
        <v>3.63</v>
      </c>
      <c r="C140" s="104">
        <v>1.923</v>
      </c>
      <c r="D140" s="104">
        <v>3756.67</v>
      </c>
      <c r="E140" s="104">
        <v>-0.06</v>
      </c>
      <c r="F140" s="104">
        <v>14.646599999999999</v>
      </c>
    </row>
    <row r="141" spans="1:6" ht="14.5" customHeight="1" x14ac:dyDescent="0.35">
      <c r="A141" s="103">
        <v>44378</v>
      </c>
      <c r="B141" s="104">
        <v>3.97</v>
      </c>
      <c r="C141" s="104">
        <v>1.863</v>
      </c>
      <c r="D141" s="104">
        <v>3867.88</v>
      </c>
      <c r="E141" s="104">
        <v>3.43</v>
      </c>
      <c r="F141" s="104">
        <v>13.0585</v>
      </c>
    </row>
    <row r="142" spans="1:6" ht="14.5" customHeight="1" x14ac:dyDescent="0.35">
      <c r="A142" s="103">
        <v>44409</v>
      </c>
      <c r="B142" s="104">
        <v>4.4400000000000004</v>
      </c>
      <c r="C142" s="104">
        <v>2.0249999999999999</v>
      </c>
      <c r="D142" s="104">
        <v>3806.87</v>
      </c>
      <c r="E142" s="104">
        <v>1.24</v>
      </c>
      <c r="F142" s="104">
        <v>12.8614</v>
      </c>
    </row>
    <row r="143" spans="1:6" ht="14.5" customHeight="1" x14ac:dyDescent="0.35">
      <c r="A143" s="103">
        <v>44440</v>
      </c>
      <c r="B143" s="104">
        <v>4.51</v>
      </c>
      <c r="C143" s="104">
        <v>2.4449999999999998</v>
      </c>
      <c r="D143" s="104">
        <v>3834.68</v>
      </c>
      <c r="E143" s="104">
        <v>-1.1399999999999999</v>
      </c>
      <c r="F143" s="104">
        <v>11.9613</v>
      </c>
    </row>
    <row r="144" spans="1:6" ht="14.5" customHeight="1" x14ac:dyDescent="0.35">
      <c r="A144" s="103">
        <v>44470</v>
      </c>
      <c r="B144" s="104">
        <v>4.58</v>
      </c>
      <c r="C144" s="104">
        <v>2.6859999999999999</v>
      </c>
      <c r="D144" s="104">
        <v>3784.44</v>
      </c>
      <c r="E144" s="104">
        <v>-1.92</v>
      </c>
      <c r="F144" s="104">
        <v>11.995200000000001</v>
      </c>
    </row>
    <row r="145" spans="1:6" ht="14.5" customHeight="1" x14ac:dyDescent="0.35">
      <c r="A145" s="103">
        <v>44501</v>
      </c>
      <c r="B145" s="104">
        <v>5.26</v>
      </c>
      <c r="C145" s="104">
        <v>3.0910000000000002</v>
      </c>
      <c r="D145" s="104">
        <v>4010.98</v>
      </c>
      <c r="E145" s="104">
        <v>11.06</v>
      </c>
      <c r="F145" s="104">
        <v>11.533099999999999</v>
      </c>
    </row>
    <row r="146" spans="1:6" ht="14.5" customHeight="1" x14ac:dyDescent="0.35">
      <c r="A146" s="103">
        <v>44531</v>
      </c>
      <c r="B146" s="104">
        <v>5.6226713901415648</v>
      </c>
      <c r="C146" s="104">
        <v>3.5110000000000001</v>
      </c>
      <c r="D146" s="104">
        <v>3981.16</v>
      </c>
      <c r="E146" s="104">
        <v>15.98</v>
      </c>
      <c r="F146" s="104">
        <v>11.096500000000001</v>
      </c>
    </row>
    <row r="147" spans="1:6" ht="14.5" customHeight="1" x14ac:dyDescent="0.35">
      <c r="A147" s="103">
        <v>44562</v>
      </c>
      <c r="B147" s="104">
        <v>6.9445991916718297</v>
      </c>
      <c r="C147" s="104">
        <v>4.3739999999999997</v>
      </c>
      <c r="D147" s="104">
        <v>3982.6</v>
      </c>
      <c r="E147" s="104">
        <v>11.887758255465711</v>
      </c>
      <c r="F147" s="104">
        <v>14.6473</v>
      </c>
    </row>
    <row r="148" spans="1:6" ht="14.5" customHeight="1" x14ac:dyDescent="0.35">
      <c r="A148" s="103">
        <v>44593</v>
      </c>
      <c r="B148" s="104">
        <v>8.005195301860347</v>
      </c>
      <c r="C148" s="104">
        <v>5.2560000000000002</v>
      </c>
      <c r="D148" s="104">
        <v>3910.64</v>
      </c>
      <c r="E148" s="104">
        <v>7.8978807468291112</v>
      </c>
      <c r="F148" s="104">
        <v>12.905200000000001</v>
      </c>
    </row>
    <row r="149" spans="1:6" ht="14.5" customHeight="1" x14ac:dyDescent="0.35">
      <c r="A149" s="103">
        <v>44621</v>
      </c>
      <c r="B149" s="104">
        <v>8.5278752531998681</v>
      </c>
      <c r="C149" s="104">
        <v>6.3470000000000004</v>
      </c>
      <c r="D149" s="104">
        <v>3748.15</v>
      </c>
      <c r="E149" s="104">
        <v>0.30078326745894829</v>
      </c>
      <c r="F149" s="104">
        <v>12.1212</v>
      </c>
    </row>
    <row r="150" spans="1:6" ht="14.5" customHeight="1" x14ac:dyDescent="0.35">
      <c r="A150" s="103">
        <v>44652</v>
      </c>
      <c r="B150" s="104">
        <v>9.2341040422196485</v>
      </c>
      <c r="C150" s="104">
        <v>6.4589999999999996</v>
      </c>
      <c r="D150" s="104">
        <v>3966.27</v>
      </c>
      <c r="E150" s="104">
        <v>6.8243336053586354</v>
      </c>
      <c r="F150" s="104">
        <v>11.1685</v>
      </c>
    </row>
    <row r="151" spans="1:6" ht="14.5" customHeight="1" x14ac:dyDescent="0.35">
      <c r="A151" s="103">
        <v>44682</v>
      </c>
      <c r="B151" s="104">
        <v>9.0667767289255288</v>
      </c>
      <c r="C151" s="104">
        <v>7.2329999999999997</v>
      </c>
      <c r="D151" s="104">
        <v>3912.34</v>
      </c>
      <c r="E151" s="104">
        <v>5.3040416873021634</v>
      </c>
      <c r="F151" s="104">
        <v>10.648300000000001</v>
      </c>
    </row>
    <row r="152" spans="1:6" ht="14.5" customHeight="1" x14ac:dyDescent="0.35">
      <c r="A152" s="103">
        <v>44713</v>
      </c>
      <c r="B152" s="104">
        <v>9.6738344957970401</v>
      </c>
      <c r="C152" s="104">
        <v>8.3279999999999994</v>
      </c>
      <c r="D152" s="104">
        <v>4127.47</v>
      </c>
      <c r="E152" s="104">
        <v>9.8704437706798931</v>
      </c>
      <c r="F152" s="104">
        <v>11.261200000000001</v>
      </c>
    </row>
    <row r="153" spans="1:6" ht="14.5" customHeight="1" x14ac:dyDescent="0.35">
      <c r="A153" s="103">
        <v>44743</v>
      </c>
      <c r="B153" s="104">
        <v>10.205825019961431</v>
      </c>
      <c r="C153" s="104">
        <v>9.2840000000000007</v>
      </c>
      <c r="D153" s="104">
        <v>4300.3</v>
      </c>
      <c r="E153" s="104">
        <v>11.179767728057749</v>
      </c>
      <c r="F153" s="104">
        <v>10.988899999999999</v>
      </c>
    </row>
    <row r="154" spans="1:6" ht="14.5" customHeight="1" x14ac:dyDescent="0.35">
      <c r="A154" s="103">
        <v>44774</v>
      </c>
      <c r="B154" s="104">
        <v>10.835976009571651</v>
      </c>
      <c r="C154" s="104">
        <v>9.9749999999999996</v>
      </c>
      <c r="D154" s="104">
        <v>4400.16</v>
      </c>
      <c r="E154" s="104">
        <v>15.58471920501619</v>
      </c>
      <c r="F154" s="104">
        <v>10.6313</v>
      </c>
    </row>
    <row r="155" spans="1:6" ht="14.5" customHeight="1" x14ac:dyDescent="0.35">
      <c r="A155" s="103">
        <v>44805</v>
      </c>
      <c r="B155" s="104">
        <v>11.43988567411451</v>
      </c>
      <c r="C155" s="104">
        <v>10.712</v>
      </c>
      <c r="D155" s="104">
        <v>4532.07</v>
      </c>
      <c r="E155" s="104">
        <v>18.18639364953529</v>
      </c>
      <c r="F155" s="104">
        <v>10.7484</v>
      </c>
    </row>
    <row r="156" spans="1:6" ht="14.5" customHeight="1" x14ac:dyDescent="0.35">
      <c r="A156" s="103">
        <v>44835</v>
      </c>
      <c r="B156" s="104">
        <v>12.221753580520531</v>
      </c>
      <c r="C156" s="104">
        <v>11.454000000000001</v>
      </c>
      <c r="D156" s="104">
        <v>4819.12</v>
      </c>
      <c r="E156" s="104">
        <v>27.340372683937389</v>
      </c>
      <c r="F156" s="104">
        <v>9.7210000000000001</v>
      </c>
    </row>
    <row r="157" spans="1:6" ht="14.5" customHeight="1" x14ac:dyDescent="0.35">
      <c r="A157" s="103">
        <v>44866</v>
      </c>
      <c r="B157" s="104">
        <v>12.53146158418288</v>
      </c>
      <c r="C157" s="104">
        <v>11.722</v>
      </c>
      <c r="D157" s="104">
        <v>4809.51</v>
      </c>
      <c r="E157" s="104">
        <v>19.908600890555441</v>
      </c>
      <c r="F157" s="104">
        <v>9.5007999999999999</v>
      </c>
    </row>
    <row r="158" spans="1:6" ht="14.5" customHeight="1" x14ac:dyDescent="0.35">
      <c r="A158" s="103">
        <v>44896</v>
      </c>
      <c r="B158" s="104">
        <v>13.1224642994638</v>
      </c>
      <c r="C158" s="104">
        <v>12.359</v>
      </c>
      <c r="D158" s="104">
        <v>4810.2</v>
      </c>
      <c r="E158" s="104">
        <v>20.824081423504719</v>
      </c>
      <c r="F158" s="104">
        <v>10.2727</v>
      </c>
    </row>
    <row r="159" spans="1:6" ht="14.5" customHeight="1" x14ac:dyDescent="0.35">
      <c r="A159" s="103">
        <v>44927</v>
      </c>
      <c r="B159" s="104">
        <v>13.251978835328559</v>
      </c>
      <c r="C159" s="104">
        <v>12.834</v>
      </c>
      <c r="D159" s="104">
        <v>4632.2</v>
      </c>
      <c r="E159" s="104">
        <v>16.3109526440014</v>
      </c>
      <c r="F159" s="104">
        <v>13.704360068</v>
      </c>
    </row>
    <row r="160" spans="1:6" ht="14.5" customHeight="1" x14ac:dyDescent="0.35">
      <c r="A160" s="103">
        <v>44958</v>
      </c>
      <c r="B160" s="104">
        <v>13.279013337512399</v>
      </c>
      <c r="C160" s="104">
        <v>13.071</v>
      </c>
      <c r="D160" s="104">
        <v>4808.1400000000003</v>
      </c>
      <c r="E160" s="104">
        <v>22.950207638647392</v>
      </c>
      <c r="F160" s="104">
        <v>11.353126105999999</v>
      </c>
    </row>
    <row r="161" spans="1:6" ht="14.5" customHeight="1" x14ac:dyDescent="0.35">
      <c r="A161" s="103">
        <v>44986</v>
      </c>
      <c r="B161" s="104">
        <v>13.344330593537229</v>
      </c>
      <c r="C161" s="104">
        <v>13.007</v>
      </c>
      <c r="D161" s="104">
        <v>4627.2700000000004</v>
      </c>
      <c r="E161" s="104">
        <v>23.45477102037006</v>
      </c>
      <c r="F161" s="104">
        <v>10.032543955</v>
      </c>
    </row>
    <row r="162" spans="1:6" ht="14.5" customHeight="1" x14ac:dyDescent="0.35">
      <c r="A162" s="103">
        <v>45017</v>
      </c>
      <c r="B162" s="104">
        <v>12.82287174741008</v>
      </c>
      <c r="C162" s="104">
        <v>13.15</v>
      </c>
      <c r="D162" s="104">
        <v>4669</v>
      </c>
      <c r="E162" s="104">
        <v>17.717654118353021</v>
      </c>
      <c r="F162" s="104">
        <v>10.724700482999999</v>
      </c>
    </row>
    <row r="163" spans="1:6" ht="14.5" customHeight="1" x14ac:dyDescent="0.35">
      <c r="A163" s="103">
        <v>45047</v>
      </c>
      <c r="B163" s="104">
        <v>12.36025338147917</v>
      </c>
      <c r="C163" s="104">
        <v>13.239000000000001</v>
      </c>
      <c r="D163" s="104">
        <v>4408.6499999999996</v>
      </c>
      <c r="E163" s="104">
        <v>12.685758395231501</v>
      </c>
      <c r="F163" s="104">
        <v>10.475099999999999</v>
      </c>
    </row>
    <row r="164" spans="1:6" ht="14.5" customHeight="1" x14ac:dyDescent="0.35">
      <c r="A164" s="103">
        <v>45078</v>
      </c>
      <c r="B164" s="104">
        <v>12.12961506226844</v>
      </c>
      <c r="C164" s="104">
        <v>13.254</v>
      </c>
      <c r="D164" s="104">
        <v>4191.28</v>
      </c>
      <c r="E164" s="104">
        <v>1.545983374803428</v>
      </c>
      <c r="F164" s="104">
        <v>9.3423096210000001</v>
      </c>
    </row>
    <row r="165" spans="1:6" ht="14.5" customHeight="1" x14ac:dyDescent="0.35">
      <c r="A165" s="103">
        <v>45108</v>
      </c>
      <c r="B165" s="104">
        <v>11.78</v>
      </c>
      <c r="C165" s="104">
        <v>13.112</v>
      </c>
      <c r="D165" s="104">
        <v>3923.49</v>
      </c>
      <c r="E165" s="104">
        <v>-8.762411924749447</v>
      </c>
      <c r="F165" s="104">
        <v>9.5728505639999995</v>
      </c>
    </row>
    <row r="166" spans="1:6" ht="14.5" customHeight="1" x14ac:dyDescent="0.35">
      <c r="A166" s="103">
        <v>45139</v>
      </c>
      <c r="B166" s="104">
        <v>11.43</v>
      </c>
      <c r="C166" s="104">
        <v>13.111000000000001</v>
      </c>
      <c r="D166" s="104">
        <v>4085.33</v>
      </c>
      <c r="E166" s="104">
        <v>-7.1549670921057356</v>
      </c>
      <c r="F166" s="104">
        <v>9.2773719989999996</v>
      </c>
    </row>
    <row r="167" spans="1:6" ht="14.5" customHeight="1" x14ac:dyDescent="0.35">
      <c r="A167" s="103">
        <v>45170</v>
      </c>
      <c r="B167" s="104">
        <v>10.99</v>
      </c>
      <c r="C167" s="104">
        <v>13.085000000000001</v>
      </c>
      <c r="D167" s="104">
        <v>4053.76</v>
      </c>
      <c r="E167" s="104">
        <v>-10.55389700512127</v>
      </c>
      <c r="F167" s="104">
        <v>9.2526741799999996</v>
      </c>
    </row>
    <row r="168" spans="1:6" ht="14.5" customHeight="1" x14ac:dyDescent="0.35">
      <c r="A168" s="103">
        <v>45200</v>
      </c>
      <c r="B168" s="104">
        <v>10.48</v>
      </c>
      <c r="C168" s="104">
        <v>13.092000000000001</v>
      </c>
      <c r="D168" s="104">
        <v>4060.83</v>
      </c>
      <c r="E168" s="104">
        <v>-15.735030461993061</v>
      </c>
      <c r="F168" s="104">
        <v>9.2309123839999998</v>
      </c>
    </row>
    <row r="169" spans="1:6" ht="14.5" customHeight="1" x14ac:dyDescent="0.35">
      <c r="A169" s="103">
        <v>45231</v>
      </c>
      <c r="B169" s="104">
        <v>10.15</v>
      </c>
      <c r="C169" s="104">
        <v>12.916</v>
      </c>
      <c r="D169" s="104">
        <v>3980.67</v>
      </c>
      <c r="E169" s="104">
        <v>-17.233356412607531</v>
      </c>
      <c r="F169" s="104">
        <v>9.0073861569999991</v>
      </c>
    </row>
    <row r="170" spans="1:6" ht="14.5" customHeight="1" x14ac:dyDescent="0.35">
      <c r="A170" s="103">
        <v>45261</v>
      </c>
      <c r="B170" s="104">
        <v>9.2760550452018151</v>
      </c>
      <c r="C170" s="104">
        <v>12.714</v>
      </c>
      <c r="D170" s="104">
        <v>3822.05</v>
      </c>
      <c r="E170" s="104">
        <v>-20.542804872978252</v>
      </c>
      <c r="F170" s="104">
        <v>10.013717396181599</v>
      </c>
    </row>
    <row r="171" spans="1:6" ht="14.5" customHeight="1" x14ac:dyDescent="0.35">
      <c r="A171" s="103">
        <v>45292</v>
      </c>
      <c r="B171" s="104">
        <v>8.3465636999175743</v>
      </c>
      <c r="C171" s="104">
        <v>12.397</v>
      </c>
      <c r="D171" s="104">
        <v>3925.6</v>
      </c>
      <c r="E171" s="104">
        <v>-15.25409092871638</v>
      </c>
      <c r="F171" s="104">
        <v>12.661635826705909</v>
      </c>
    </row>
    <row r="172" spans="1:6" ht="14.5" customHeight="1" x14ac:dyDescent="0.35">
      <c r="A172" s="103">
        <v>45323</v>
      </c>
      <c r="B172" s="104">
        <v>7.7373806718130433</v>
      </c>
      <c r="C172" s="104">
        <v>12.226000000000001</v>
      </c>
      <c r="D172" s="104">
        <v>3933.56</v>
      </c>
      <c r="E172" s="104">
        <v>-18.18957018722417</v>
      </c>
      <c r="F172" s="104">
        <v>11.66614479206765</v>
      </c>
    </row>
    <row r="173" spans="1:6" ht="14.5" customHeight="1" x14ac:dyDescent="0.35">
      <c r="A173" s="103">
        <v>45352</v>
      </c>
      <c r="B173" s="104">
        <v>7.3626914348644767</v>
      </c>
      <c r="C173" s="104">
        <v>11.827999999999999</v>
      </c>
      <c r="D173" s="104">
        <v>3842.3</v>
      </c>
      <c r="E173" s="104">
        <v>-16.96399821060799</v>
      </c>
      <c r="F173" s="104">
        <v>11.28571949943578</v>
      </c>
    </row>
    <row r="174" spans="1:6" ht="14.5" customHeight="1" x14ac:dyDescent="0.35">
      <c r="A174" s="103">
        <v>45383</v>
      </c>
      <c r="B174" s="104">
        <v>7.163281126755483</v>
      </c>
      <c r="C174" s="104">
        <v>11.56</v>
      </c>
      <c r="D174" s="104">
        <v>3873.44</v>
      </c>
      <c r="E174" s="104">
        <v>-17.039194688370099</v>
      </c>
      <c r="F174" s="104">
        <v>10.646715730368969</v>
      </c>
    </row>
    <row r="175" spans="1:6" ht="14.5" customHeight="1" x14ac:dyDescent="0.35">
      <c r="A175" s="103">
        <v>45413</v>
      </c>
      <c r="B175" s="104">
        <v>7.1569275409043343</v>
      </c>
      <c r="C175" s="104">
        <v>11.167</v>
      </c>
      <c r="D175" s="104">
        <v>3874.32</v>
      </c>
      <c r="E175" s="104">
        <v>-12.12003674594262</v>
      </c>
      <c r="F175" s="104">
        <v>10.305870827614299</v>
      </c>
    </row>
    <row r="176" spans="1:6" ht="14.5" customHeight="1" x14ac:dyDescent="0.35">
      <c r="A176" s="103">
        <v>45444</v>
      </c>
      <c r="B176" s="104">
        <v>7.1824626350778464</v>
      </c>
      <c r="C176" s="104">
        <v>10.866</v>
      </c>
      <c r="D176" s="104">
        <v>4148.04</v>
      </c>
      <c r="E176" s="104">
        <v>-1.0316657441163499</v>
      </c>
      <c r="F176" s="104">
        <v>10.26859017146683</v>
      </c>
    </row>
    <row r="177" spans="1:6" ht="14.5" customHeight="1" x14ac:dyDescent="0.35">
      <c r="A177" s="103">
        <v>45474</v>
      </c>
      <c r="B177" s="104">
        <v>6.8600414451028602</v>
      </c>
      <c r="C177" s="104">
        <v>10.523999999999999</v>
      </c>
      <c r="D177" s="104">
        <v>4089.05</v>
      </c>
      <c r="E177" s="104">
        <v>4.2197125518352419</v>
      </c>
      <c r="F177" s="104">
        <v>9.9181446285116568</v>
      </c>
    </row>
    <row r="178" spans="1:6" ht="14.5" customHeight="1" x14ac:dyDescent="0.35">
      <c r="A178" s="103">
        <v>45505</v>
      </c>
      <c r="B178" s="104">
        <v>6.1204537923945654</v>
      </c>
      <c r="C178" s="104">
        <v>10.179</v>
      </c>
      <c r="D178" s="104">
        <v>4160.3100000000004</v>
      </c>
      <c r="E178" s="104">
        <v>1.83534745051197</v>
      </c>
      <c r="F178" s="104">
        <v>9.6626578419937097</v>
      </c>
    </row>
    <row r="179" spans="1:6" ht="14.5" customHeight="1" x14ac:dyDescent="0.35">
      <c r="A179" s="103">
        <v>45536</v>
      </c>
      <c r="B179" s="104">
        <v>5.8087765966825522</v>
      </c>
      <c r="C179" s="104">
        <v>9.7149999999999999</v>
      </c>
      <c r="D179" s="104">
        <v>4164.21</v>
      </c>
      <c r="E179" s="104">
        <v>2.7246309598989442</v>
      </c>
      <c r="F179" s="104">
        <v>9.1344769517755928</v>
      </c>
    </row>
    <row r="180" spans="1:6" ht="14.5" customHeight="1" x14ac:dyDescent="0.35">
      <c r="A180" s="103">
        <v>45566</v>
      </c>
      <c r="B180" s="104">
        <v>5.4061275728907843</v>
      </c>
      <c r="C180" s="104">
        <v>9.4469999999999992</v>
      </c>
      <c r="D180" s="104">
        <v>4413.46</v>
      </c>
      <c r="E180" s="104">
        <v>8.6836927426166675</v>
      </c>
      <c r="F180" s="104">
        <v>9.1337601500858749</v>
      </c>
    </row>
    <row r="181" spans="1:6" ht="14.5" customHeight="1" x14ac:dyDescent="0.35">
      <c r="A181" s="103">
        <v>45597</v>
      </c>
      <c r="B181" s="104">
        <v>5.1973577964305786</v>
      </c>
      <c r="C181" s="104">
        <v>9.25</v>
      </c>
      <c r="D181" s="104">
        <v>4419.59</v>
      </c>
      <c r="E181" s="104">
        <v>11.02628451994263</v>
      </c>
      <c r="F181" s="104">
        <v>8.1687634793625499</v>
      </c>
    </row>
    <row r="182" spans="1:6" ht="14.5" customHeight="1" x14ac:dyDescent="0.35">
      <c r="A182" s="103">
        <v>45627</v>
      </c>
      <c r="B182" s="104">
        <v>5.2030659303403448</v>
      </c>
      <c r="C182" s="104">
        <v>9.3960000000000008</v>
      </c>
      <c r="D182" s="104">
        <v>4409.1499999999996</v>
      </c>
      <c r="E182" s="104">
        <v>15.36</v>
      </c>
      <c r="F182" s="104">
        <v>9.1252953803636494</v>
      </c>
    </row>
    <row r="183" spans="1:6" ht="14.5" customHeight="1" x14ac:dyDescent="0.35">
      <c r="A183" s="103">
        <v>45658</v>
      </c>
      <c r="B183" s="104">
        <v>5.22298042310545</v>
      </c>
      <c r="C183" s="104">
        <v>9.2360000000000007</v>
      </c>
      <c r="D183" s="104">
        <v>4170.01</v>
      </c>
      <c r="E183" s="104">
        <v>6.2260546158549026</v>
      </c>
      <c r="F183" s="104">
        <v>11.636036642818439</v>
      </c>
    </row>
    <row r="184" spans="1:6" ht="14.5" customHeight="1" x14ac:dyDescent="0.35">
      <c r="A184" s="103">
        <v>45689</v>
      </c>
      <c r="B184" s="104">
        <v>5.2765843800580248</v>
      </c>
      <c r="C184" s="104">
        <v>9.2910000000000004</v>
      </c>
      <c r="D184" s="104">
        <v>4120.1099999999997</v>
      </c>
      <c r="E184" s="104">
        <v>4.7425233122158961</v>
      </c>
      <c r="F184" s="104">
        <v>10.33046346346282</v>
      </c>
    </row>
    <row r="185" spans="1:6" ht="14.5" customHeight="1" x14ac:dyDescent="0.35">
      <c r="A185" s="103">
        <v>45717</v>
      </c>
      <c r="B185" s="104">
        <v>5.08999660294156</v>
      </c>
      <c r="C185" s="104">
        <v>9.327</v>
      </c>
      <c r="D185" s="104">
        <v>4192.57</v>
      </c>
      <c r="E185" s="104">
        <v>9.1161543866954631</v>
      </c>
      <c r="F185" s="104">
        <v>9.6163686629637048</v>
      </c>
    </row>
    <row r="186" spans="1:6" ht="14.5" customHeight="1" x14ac:dyDescent="0.35">
      <c r="A186" s="103">
        <v>45748</v>
      </c>
      <c r="B186" s="104">
        <v>5.1622882865170583</v>
      </c>
      <c r="C186" s="104">
        <v>9.3940000000000001</v>
      </c>
      <c r="D186" s="104">
        <v>4198.83</v>
      </c>
      <c r="E186" s="104">
        <v>8.4005431864182754</v>
      </c>
      <c r="F186" s="104">
        <v>8.7825059385890309</v>
      </c>
    </row>
    <row r="187" spans="1:6" ht="14.5" customHeight="1" x14ac:dyDescent="0.35">
      <c r="A187" s="103">
        <v>45778</v>
      </c>
      <c r="B187" s="104">
        <v>5.0521050746840324</v>
      </c>
      <c r="C187" s="104">
        <v>9.1359999999999992</v>
      </c>
      <c r="D187" s="104">
        <v>4148.72</v>
      </c>
      <c r="E187" s="104">
        <v>7.0825331929216029</v>
      </c>
      <c r="F187" s="104">
        <v>9.0364158093294087</v>
      </c>
    </row>
    <row r="188" spans="1:6" ht="14.5" customHeight="1" x14ac:dyDescent="0.35">
      <c r="A188" s="103">
        <v>45809</v>
      </c>
      <c r="B188" s="104">
        <v>4.8200721707341909</v>
      </c>
      <c r="C188" s="104">
        <v>9.1069999999999993</v>
      </c>
      <c r="D188" s="104">
        <v>4069.67</v>
      </c>
      <c r="E188" s="104">
        <v>-1.889326043143269</v>
      </c>
      <c r="F188" s="104">
        <v>8.5540200861558695</v>
      </c>
    </row>
    <row r="189" spans="1:6" ht="14.5" customHeight="1" x14ac:dyDescent="0.35">
      <c r="A189" s="103">
        <v>45839</v>
      </c>
      <c r="B189" s="104">
        <v>4.9004634898229371</v>
      </c>
      <c r="C189" s="104">
        <v>9.0229999999999997</v>
      </c>
      <c r="D189" s="104">
        <v>4179.6899999999996</v>
      </c>
      <c r="E189" s="104">
        <v>2.2166517895354509</v>
      </c>
      <c r="F189" s="104">
        <v>8.8418118741921852</v>
      </c>
    </row>
    <row r="190" spans="1:6" ht="14.5" customHeight="1" x14ac:dyDescent="0.35">
      <c r="A190" s="103">
        <v>45870</v>
      </c>
      <c r="B190" s="104">
        <v>5.0955737641477317</v>
      </c>
      <c r="C190" s="104">
        <v>9.1809999999999992</v>
      </c>
      <c r="D190" s="104">
        <v>4018.41</v>
      </c>
      <c r="E190" s="104">
        <v>-3.410803521852956</v>
      </c>
      <c r="F190" s="104">
        <v>8.5984509167776952</v>
      </c>
    </row>
    <row r="191" spans="1:6" ht="14.5" customHeight="1" x14ac:dyDescent="0.35">
      <c r="A191" s="103">
        <v>45901</v>
      </c>
      <c r="B191" s="104">
        <v>5.1767404992538726</v>
      </c>
      <c r="C191" s="104">
        <v>9.2070000000000007</v>
      </c>
      <c r="D191" s="104">
        <v>3901.29</v>
      </c>
      <c r="E191" s="104">
        <v>-6.3138026180235904</v>
      </c>
      <c r="F191" s="104">
        <v>8.1734824737352785</v>
      </c>
    </row>
    <row r="192" spans="1:6" ht="14.5" customHeight="1" x14ac:dyDescent="0.35">
      <c r="A192" s="103">
        <v>45931</v>
      </c>
      <c r="B192" s="104">
        <v>5.5122302147269098</v>
      </c>
      <c r="C192" s="104">
        <v>9.2759999999999998</v>
      </c>
      <c r="D192" s="104">
        <v>3870.42</v>
      </c>
      <c r="E192" s="104">
        <v>-12.30417858097729</v>
      </c>
      <c r="F192" s="104">
        <v>8.2036728750044716</v>
      </c>
    </row>
    <row r="193" spans="1:6" ht="14.5" customHeight="1" x14ac:dyDescent="0.35">
      <c r="A193" s="103">
        <v>45962</v>
      </c>
      <c r="B193" s="104">
        <v>5.3010692833363793</v>
      </c>
      <c r="C193" s="104">
        <v>9.4670000000000005</v>
      </c>
      <c r="D193" s="104">
        <v>3744.43</v>
      </c>
      <c r="E193" s="104">
        <v>-15.276530175876051</v>
      </c>
      <c r="F193" s="104">
        <v>7.0248576645484269</v>
      </c>
    </row>
    <row r="194" spans="1:6" ht="14.5" customHeight="1" x14ac:dyDescent="0.35">
      <c r="A194" s="103">
        <v>45992</v>
      </c>
      <c r="B194" s="104">
        <v>5.0998843306039987</v>
      </c>
      <c r="C194" s="104">
        <v>9.8789999999999996</v>
      </c>
      <c r="D194" s="104">
        <v>3757.08</v>
      </c>
      <c r="E194" s="104">
        <v>-14.78901829150743</v>
      </c>
      <c r="F194" s="104">
        <v>7.9771036256359382</v>
      </c>
    </row>
    <row r="195" spans="1:6" ht="14.5" customHeight="1" x14ac:dyDescent="0.35">
      <c r="A195" s="103">
        <v>46023</v>
      </c>
      <c r="B195" s="104">
        <v>5.3536001715572157</v>
      </c>
      <c r="C195" s="104">
        <v>10.08</v>
      </c>
      <c r="D195" s="104">
        <v>3670.47</v>
      </c>
      <c r="E195" s="104">
        <v>-11.97934777134828</v>
      </c>
      <c r="F195" s="104">
        <v>10.85945281420206</v>
      </c>
    </row>
    <row r="196" spans="1:6" ht="14.5" customHeight="1" x14ac:dyDescent="0.35">
      <c r="A196" s="103">
        <v>46054</v>
      </c>
      <c r="B196" s="104">
        <v>5.2900378570263307</v>
      </c>
      <c r="C196" s="104">
        <v>11.14</v>
      </c>
      <c r="D196" s="104">
        <v>3766.3</v>
      </c>
      <c r="E196" s="104">
        <v>-8.5873920841919134</v>
      </c>
      <c r="F196" s="104">
        <v>9.234958425182727</v>
      </c>
    </row>
    <row r="197" spans="1:6" ht="14.5" customHeight="1" x14ac:dyDescent="0.35">
      <c r="A197" s="103">
        <v>46082</v>
      </c>
      <c r="B197" s="104">
        <v>5.5589039903634951</v>
      </c>
      <c r="C197" s="104">
        <v>11.654</v>
      </c>
      <c r="D197" s="104">
        <v>3669.96</v>
      </c>
      <c r="E197" s="104">
        <v>-12.46514667614375</v>
      </c>
      <c r="F197" s="104">
        <v>8.7933861147571992</v>
      </c>
    </row>
    <row r="198" spans="1:6" ht="14.5" customHeight="1" x14ac:dyDescent="0.35">
      <c r="A198" s="103">
        <v>46113</v>
      </c>
      <c r="B198" s="104">
        <v>5.6813168258595059</v>
      </c>
      <c r="C198" s="104">
        <v>12.121</v>
      </c>
      <c r="D198" s="104">
        <v>3621.86</v>
      </c>
      <c r="E198" s="104">
        <v>-13.741208860563541</v>
      </c>
      <c r="F198" s="104">
        <v>8.7814568020438806</v>
      </c>
    </row>
    <row r="199" spans="1:6" ht="14.5" customHeight="1" x14ac:dyDescent="0.35">
      <c r="A199" s="103">
        <v>46143</v>
      </c>
      <c r="B199" s="104">
        <v>5.8420822567643471</v>
      </c>
      <c r="C199" s="104">
        <v>11.909000000000001</v>
      </c>
      <c r="D199" s="104">
        <v>3678.15</v>
      </c>
      <c r="E199" s="104">
        <v>-11.34253456487785</v>
      </c>
      <c r="F199" s="104">
        <v>8.0206511267912095</v>
      </c>
    </row>
    <row r="200" spans="1:6" ht="14.5" customHeight="1" x14ac:dyDescent="0.35">
      <c r="A200" s="103">
        <v>46174</v>
      </c>
      <c r="B200" s="104"/>
      <c r="C200" s="104">
        <v>12.154</v>
      </c>
      <c r="D200" s="104">
        <v>3443.59</v>
      </c>
      <c r="E200" s="104">
        <v>-15.384048338071629</v>
      </c>
      <c r="F200" s="104"/>
    </row>
  </sheetData>
  <pageMargins left="0.7" right="0.7" top="0.75" bottom="0.75" header="0.3" footer="0.3"/>
  <pageSetup orientation="portrait"/>
  <customProperties>
    <customPr name="_pios_id" r:id="rId1"/>
  </customPropertie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4.5" x14ac:dyDescent="0.35"/>
  <cols>
    <col min="1" max="1" width="7.1796875" style="105" bestFit="1" customWidth="1"/>
    <col min="2" max="2" width="21.81640625" style="105" bestFit="1" customWidth="1"/>
    <col min="3" max="3" width="11.453125" style="105" customWidth="1"/>
    <col min="4" max="16384" width="11.453125" style="105"/>
  </cols>
  <sheetData>
    <row r="1" spans="1:2" x14ac:dyDescent="0.35">
      <c r="B1" s="1" t="s">
        <v>209</v>
      </c>
    </row>
    <row r="2" spans="1:2" x14ac:dyDescent="0.35">
      <c r="A2" s="103">
        <v>40148</v>
      </c>
      <c r="B2" s="104">
        <v>3.1355892217460481</v>
      </c>
    </row>
    <row r="3" spans="1:2" x14ac:dyDescent="0.35">
      <c r="A3" s="103">
        <v>40238</v>
      </c>
      <c r="B3" s="104">
        <v>3.8514486444096678</v>
      </c>
    </row>
    <row r="4" spans="1:2" x14ac:dyDescent="0.35">
      <c r="A4" s="103">
        <v>40330</v>
      </c>
      <c r="B4" s="104">
        <v>4.4313455167122724</v>
      </c>
    </row>
    <row r="5" spans="1:2" x14ac:dyDescent="0.35">
      <c r="A5" s="103">
        <v>40422</v>
      </c>
      <c r="B5" s="104">
        <v>4.1501714946981583</v>
      </c>
    </row>
    <row r="6" spans="1:2" x14ac:dyDescent="0.35">
      <c r="A6" s="103">
        <v>40513</v>
      </c>
      <c r="B6" s="104">
        <v>5.5242493764073579</v>
      </c>
    </row>
    <row r="7" spans="1:2" x14ac:dyDescent="0.35">
      <c r="A7" s="103">
        <v>40603</v>
      </c>
      <c r="B7" s="104">
        <v>6.7094683846178507</v>
      </c>
    </row>
    <row r="8" spans="1:2" x14ac:dyDescent="0.35">
      <c r="A8" s="103">
        <v>40695</v>
      </c>
      <c r="B8" s="104">
        <v>6.614969577314965</v>
      </c>
    </row>
    <row r="9" spans="1:2" x14ac:dyDescent="0.35">
      <c r="A9" s="103">
        <v>40787</v>
      </c>
      <c r="B9" s="104">
        <v>7.9945869703148356</v>
      </c>
    </row>
    <row r="10" spans="1:2" x14ac:dyDescent="0.35">
      <c r="A10" s="103">
        <v>40878</v>
      </c>
      <c r="B10" s="104">
        <v>6.4747344436907586</v>
      </c>
    </row>
    <row r="11" spans="1:2" x14ac:dyDescent="0.35">
      <c r="A11" s="103">
        <v>40969</v>
      </c>
      <c r="B11" s="106">
        <v>5.7888134353392076</v>
      </c>
    </row>
    <row r="12" spans="1:2" x14ac:dyDescent="0.35">
      <c r="A12" s="103">
        <v>41061</v>
      </c>
      <c r="B12" s="106">
        <v>4.849427933843236</v>
      </c>
    </row>
    <row r="13" spans="1:2" x14ac:dyDescent="0.35">
      <c r="A13" s="103">
        <v>41153</v>
      </c>
      <c r="B13" s="106">
        <v>2.25170943583618</v>
      </c>
    </row>
    <row r="14" spans="1:2" x14ac:dyDescent="0.35">
      <c r="A14" s="103">
        <v>41244</v>
      </c>
      <c r="B14" s="106">
        <v>2.850677462512202</v>
      </c>
    </row>
    <row r="15" spans="1:2" x14ac:dyDescent="0.35">
      <c r="A15" s="103">
        <v>41334</v>
      </c>
      <c r="B15" s="106">
        <v>2.626389552475636</v>
      </c>
    </row>
    <row r="16" spans="1:2" x14ac:dyDescent="0.35">
      <c r="A16" s="103">
        <v>41426</v>
      </c>
      <c r="B16" s="106">
        <v>5.3661771455070344</v>
      </c>
    </row>
    <row r="17" spans="1:2" x14ac:dyDescent="0.35">
      <c r="A17" s="103">
        <v>41518</v>
      </c>
      <c r="B17" s="106">
        <v>6.1585273650371546</v>
      </c>
    </row>
    <row r="18" spans="1:2" x14ac:dyDescent="0.35">
      <c r="A18" s="103">
        <v>41609</v>
      </c>
      <c r="B18" s="106">
        <v>6.3661504038753387</v>
      </c>
    </row>
    <row r="19" spans="1:2" x14ac:dyDescent="0.35">
      <c r="A19" s="103">
        <v>41699</v>
      </c>
      <c r="B19" s="106">
        <v>6.6302673884289787</v>
      </c>
    </row>
    <row r="20" spans="1:2" x14ac:dyDescent="0.35">
      <c r="A20" s="103">
        <v>41791</v>
      </c>
      <c r="B20" s="106">
        <v>3.445167048219862</v>
      </c>
    </row>
    <row r="21" spans="1:2" x14ac:dyDescent="0.35">
      <c r="A21" s="103">
        <v>41883</v>
      </c>
      <c r="B21" s="106">
        <v>4.2223818513670981</v>
      </c>
    </row>
    <row r="22" spans="1:2" x14ac:dyDescent="0.35">
      <c r="A22" s="103">
        <v>41974</v>
      </c>
      <c r="B22" s="106">
        <v>3.7786575245108649</v>
      </c>
    </row>
    <row r="23" spans="1:2" x14ac:dyDescent="0.35">
      <c r="A23" s="103">
        <v>42064</v>
      </c>
      <c r="B23" s="106">
        <v>2.8916831477254461</v>
      </c>
    </row>
    <row r="24" spans="1:2" x14ac:dyDescent="0.35">
      <c r="A24" s="103">
        <v>42156</v>
      </c>
      <c r="B24" s="106">
        <v>3.4308635518774828</v>
      </c>
    </row>
    <row r="25" spans="1:2" x14ac:dyDescent="0.35">
      <c r="A25" s="103">
        <v>42248</v>
      </c>
      <c r="B25" s="106">
        <v>3.4268322132057172</v>
      </c>
    </row>
    <row r="26" spans="1:2" x14ac:dyDescent="0.35">
      <c r="A26" s="103">
        <v>42339</v>
      </c>
      <c r="B26" s="106">
        <v>2.087217574267477</v>
      </c>
    </row>
    <row r="27" spans="1:2" x14ac:dyDescent="0.35">
      <c r="A27" s="103">
        <v>42430</v>
      </c>
      <c r="B27" s="106">
        <v>2.2943213782090832</v>
      </c>
    </row>
    <row r="28" spans="1:2" x14ac:dyDescent="0.35">
      <c r="A28" s="103">
        <v>42522</v>
      </c>
      <c r="B28" s="106">
        <v>2.2300295867214039</v>
      </c>
    </row>
    <row r="29" spans="1:2" x14ac:dyDescent="0.35">
      <c r="A29" s="103">
        <v>42614</v>
      </c>
      <c r="B29" s="106">
        <v>1.456245767735876</v>
      </c>
    </row>
    <row r="30" spans="1:2" x14ac:dyDescent="0.35">
      <c r="A30" s="103">
        <v>42705</v>
      </c>
      <c r="B30" s="106">
        <v>2.3746324743635201</v>
      </c>
    </row>
    <row r="31" spans="1:2" x14ac:dyDescent="0.35">
      <c r="A31" s="103">
        <v>42795</v>
      </c>
      <c r="B31" s="106">
        <v>1.4349453934603349</v>
      </c>
    </row>
    <row r="32" spans="1:2" x14ac:dyDescent="0.35">
      <c r="A32" s="103">
        <v>42887</v>
      </c>
      <c r="B32" s="106">
        <v>1.179303856472973</v>
      </c>
    </row>
    <row r="33" spans="1:2" x14ac:dyDescent="0.35">
      <c r="A33" s="103">
        <v>42979</v>
      </c>
      <c r="B33" s="106">
        <v>1.4880657889900839</v>
      </c>
    </row>
    <row r="34" spans="1:2" x14ac:dyDescent="0.35">
      <c r="A34" s="103">
        <v>43070</v>
      </c>
      <c r="B34" s="106">
        <v>1.335496096645606</v>
      </c>
    </row>
    <row r="35" spans="1:2" x14ac:dyDescent="0.35">
      <c r="A35" s="103">
        <v>43160</v>
      </c>
      <c r="B35" s="106">
        <v>1.7638253521519081</v>
      </c>
    </row>
    <row r="36" spans="1:2" x14ac:dyDescent="0.35">
      <c r="A36" s="103">
        <v>43252</v>
      </c>
      <c r="B36" s="106">
        <v>2.738084955034227</v>
      </c>
    </row>
    <row r="37" spans="1:2" x14ac:dyDescent="0.35">
      <c r="A37" s="103">
        <v>43344</v>
      </c>
      <c r="B37" s="106">
        <v>2.8054092424505321</v>
      </c>
    </row>
    <row r="38" spans="1:2" x14ac:dyDescent="0.35">
      <c r="A38" s="103">
        <v>43435</v>
      </c>
      <c r="B38" s="106">
        <v>2.9417456335650169</v>
      </c>
    </row>
    <row r="39" spans="1:2" x14ac:dyDescent="0.35">
      <c r="A39" s="103">
        <v>43525</v>
      </c>
      <c r="B39" s="106">
        <v>3.561300473010808</v>
      </c>
    </row>
    <row r="40" spans="1:2" x14ac:dyDescent="0.35">
      <c r="A40" s="103">
        <v>43617</v>
      </c>
      <c r="B40" s="106">
        <v>3.0258174312103892</v>
      </c>
    </row>
    <row r="41" spans="1:2" x14ac:dyDescent="0.35">
      <c r="A41" s="103">
        <v>43709</v>
      </c>
      <c r="B41" s="106">
        <v>3.043042089413984</v>
      </c>
    </row>
    <row r="42" spans="1:2" x14ac:dyDescent="0.35">
      <c r="A42" s="103">
        <v>43800</v>
      </c>
      <c r="B42" s="106">
        <v>3.1238719914075119</v>
      </c>
    </row>
    <row r="43" spans="1:2" x14ac:dyDescent="0.35">
      <c r="A43" s="103">
        <v>43891</v>
      </c>
      <c r="B43" s="106">
        <v>0.15828154275267581</v>
      </c>
    </row>
    <row r="44" spans="1:2" x14ac:dyDescent="0.35">
      <c r="A44" s="103">
        <v>43983</v>
      </c>
      <c r="B44" s="106">
        <v>-16.633239641745241</v>
      </c>
    </row>
    <row r="45" spans="1:2" x14ac:dyDescent="0.35">
      <c r="A45" s="103">
        <v>44075</v>
      </c>
      <c r="B45" s="106">
        <v>-9.0127633562567642</v>
      </c>
    </row>
    <row r="46" spans="1:2" x14ac:dyDescent="0.35">
      <c r="A46" s="103">
        <v>44166</v>
      </c>
      <c r="B46" s="106">
        <v>-3.2373512160736069</v>
      </c>
    </row>
    <row r="47" spans="1:2" x14ac:dyDescent="0.35">
      <c r="A47" s="103">
        <v>44256</v>
      </c>
      <c r="B47" s="106">
        <v>1.8519361600606159</v>
      </c>
    </row>
    <row r="48" spans="1:2" x14ac:dyDescent="0.35">
      <c r="A48" s="103">
        <v>44348</v>
      </c>
      <c r="B48" s="106">
        <v>18.429080884818539</v>
      </c>
    </row>
    <row r="49" spans="1:2" x14ac:dyDescent="0.35">
      <c r="A49" s="103">
        <v>44440</v>
      </c>
      <c r="B49" s="106">
        <v>13.37560031170325</v>
      </c>
    </row>
    <row r="50" spans="1:2" x14ac:dyDescent="0.35">
      <c r="A50" s="103">
        <v>44531</v>
      </c>
      <c r="B50" s="106">
        <v>10.97928327715924</v>
      </c>
    </row>
    <row r="51" spans="1:2" x14ac:dyDescent="0.35">
      <c r="A51" s="103">
        <v>44621</v>
      </c>
      <c r="B51" s="106">
        <v>7.9744849372897404</v>
      </c>
    </row>
    <row r="52" spans="1:2" x14ac:dyDescent="0.35">
      <c r="A52" s="103">
        <v>44713</v>
      </c>
      <c r="B52" s="106">
        <v>12.33215038188647</v>
      </c>
    </row>
    <row r="53" spans="1:2" x14ac:dyDescent="0.35">
      <c r="A53" s="103">
        <v>44805</v>
      </c>
      <c r="B53" s="106">
        <v>7.3443381307535009</v>
      </c>
    </row>
    <row r="54" spans="1:2" x14ac:dyDescent="0.35">
      <c r="A54" s="103">
        <v>44896</v>
      </c>
      <c r="B54" s="106">
        <v>2.1717172392027968</v>
      </c>
    </row>
    <row r="55" spans="1:2" x14ac:dyDescent="0.35">
      <c r="A55" s="103">
        <v>44986</v>
      </c>
      <c r="B55" s="106">
        <v>2.7093815589989729</v>
      </c>
    </row>
    <row r="56" spans="1:2" x14ac:dyDescent="0.35">
      <c r="A56" s="103">
        <v>45078</v>
      </c>
      <c r="B56" s="106">
        <v>0.41706209186568649</v>
      </c>
    </row>
    <row r="57" spans="1:2" x14ac:dyDescent="0.35">
      <c r="A57" s="103">
        <v>45170</v>
      </c>
      <c r="B57" s="106">
        <v>-0.39691174127164058</v>
      </c>
    </row>
    <row r="58" spans="1:2" x14ac:dyDescent="0.35">
      <c r="A58" s="103">
        <v>45261</v>
      </c>
      <c r="B58" s="106">
        <v>0.6718294828364515</v>
      </c>
    </row>
    <row r="59" spans="1:2" x14ac:dyDescent="0.35">
      <c r="A59" s="103">
        <v>45352</v>
      </c>
      <c r="B59" s="106">
        <v>-2.021204353945923E-2</v>
      </c>
    </row>
    <row r="60" spans="1:2" x14ac:dyDescent="0.35">
      <c r="A60" s="103">
        <v>45444</v>
      </c>
      <c r="B60" s="106">
        <v>1.7027690270906679</v>
      </c>
    </row>
    <row r="61" spans="1:2" x14ac:dyDescent="0.35">
      <c r="A61" s="103">
        <v>45536</v>
      </c>
      <c r="B61" s="106">
        <v>1.717078187218624</v>
      </c>
    </row>
    <row r="62" spans="1:2" x14ac:dyDescent="0.35">
      <c r="A62" s="103">
        <v>45627</v>
      </c>
      <c r="B62" s="106">
        <v>2.5804950972347021</v>
      </c>
    </row>
    <row r="63" spans="1:2" x14ac:dyDescent="0.35">
      <c r="A63" s="103">
        <v>45717</v>
      </c>
      <c r="B63" s="106">
        <v>2.7645388827899922</v>
      </c>
    </row>
    <row r="64" spans="1:2" x14ac:dyDescent="0.35">
      <c r="A64" s="103">
        <v>45809</v>
      </c>
      <c r="B64" s="106">
        <v>1.8291952993814751</v>
      </c>
    </row>
    <row r="65" spans="1:2" x14ac:dyDescent="0.35">
      <c r="A65" s="103">
        <v>45901</v>
      </c>
      <c r="B65" s="106">
        <v>3.6933131629942189</v>
      </c>
    </row>
    <row r="66" spans="1:2" x14ac:dyDescent="0.35">
      <c r="A66" s="103">
        <v>45992</v>
      </c>
      <c r="B66" s="106">
        <v>2.0056449690633018</v>
      </c>
    </row>
    <row r="67" spans="1:2" x14ac:dyDescent="0.35">
      <c r="A67" s="103">
        <v>46082</v>
      </c>
      <c r="B67" s="106">
        <v>2.173279370102382</v>
      </c>
    </row>
    <row r="144" spans="1:2" x14ac:dyDescent="0.35">
      <c r="A144" s="106"/>
      <c r="B144" s="106"/>
    </row>
    <row r="145" spans="1:2" x14ac:dyDescent="0.35">
      <c r="A145" s="106"/>
      <c r="B145" s="106"/>
    </row>
    <row r="146" spans="1:2" x14ac:dyDescent="0.35">
      <c r="A146" s="106"/>
      <c r="B146" s="106"/>
    </row>
    <row r="147" spans="1:2" x14ac:dyDescent="0.35">
      <c r="A147" s="106"/>
      <c r="B147" s="106"/>
    </row>
    <row r="148" spans="1:2" x14ac:dyDescent="0.35">
      <c r="A148" s="106"/>
      <c r="B148" s="106"/>
    </row>
    <row r="149" spans="1:2" x14ac:dyDescent="0.35">
      <c r="A149" s="106"/>
      <c r="B149" s="106"/>
    </row>
  </sheetData>
  <pageMargins left="0.7" right="0.7" top="0.75" bottom="0.75" header="0.3" footer="0.3"/>
  <pageSetup orientation="portrait"/>
  <customProperties>
    <customPr name="_pios_id" r:id="rId1"/>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topLeftCell="A89" zoomScaleNormal="100" workbookViewId="0">
      <selection activeCell="F102" sqref="F102"/>
    </sheetView>
  </sheetViews>
  <sheetFormatPr baseColWidth="10" defaultColWidth="11.453125" defaultRowHeight="15.75" customHeight="1" x14ac:dyDescent="0.3"/>
  <cols>
    <col min="1" max="1" width="13.54296875" style="113" customWidth="1"/>
    <col min="2" max="2" width="9.1796875" style="113" customWidth="1"/>
    <col min="3" max="3" width="10.54296875" style="113" customWidth="1"/>
    <col min="4" max="4" width="10.1796875" style="113" customWidth="1"/>
    <col min="5" max="6" width="9.1796875" style="113" customWidth="1"/>
    <col min="7" max="7" width="6.54296875" style="113" customWidth="1"/>
    <col min="8" max="8" width="11.453125" style="113" customWidth="1"/>
    <col min="9" max="16384" width="11.453125" style="113"/>
  </cols>
  <sheetData>
    <row r="1" spans="1:12" s="107" customFormat="1" ht="15.75" customHeight="1" x14ac:dyDescent="0.3"/>
    <row r="2" spans="1:12" s="107" customFormat="1" ht="15.75" customHeight="1" x14ac:dyDescent="0.3"/>
    <row r="3" spans="1:12" s="107" customFormat="1" ht="15.75" customHeight="1" x14ac:dyDescent="0.3"/>
    <row r="4" spans="1:12" s="107" customFormat="1" ht="15.75" customHeight="1" x14ac:dyDescent="0.3">
      <c r="B4" s="108"/>
      <c r="C4" s="108"/>
      <c r="D4" s="108"/>
      <c r="E4" s="130" t="s">
        <v>210</v>
      </c>
      <c r="F4" s="131"/>
      <c r="G4" s="131"/>
      <c r="H4" s="131"/>
      <c r="I4" s="131"/>
      <c r="J4" s="108"/>
      <c r="K4" s="108"/>
      <c r="L4" s="108"/>
    </row>
    <row r="5" spans="1:12" s="107" customFormat="1" ht="15.75" customHeight="1" x14ac:dyDescent="0.3">
      <c r="A5" s="133" t="s">
        <v>211</v>
      </c>
      <c r="B5" s="131"/>
      <c r="C5" s="131"/>
      <c r="D5" s="131"/>
      <c r="E5" s="131"/>
      <c r="F5" s="110"/>
      <c r="G5" s="110"/>
      <c r="H5" s="110" t="s">
        <v>212</v>
      </c>
      <c r="I5" s="110"/>
      <c r="J5" s="110"/>
      <c r="K5" s="110"/>
      <c r="L5" s="110"/>
    </row>
    <row r="6" spans="1:12" s="107" customFormat="1" ht="15.75" customHeight="1" x14ac:dyDescent="0.3">
      <c r="A6" s="132" t="s">
        <v>97</v>
      </c>
      <c r="B6" s="131"/>
      <c r="C6" s="131"/>
      <c r="D6" s="131"/>
      <c r="E6" s="131"/>
      <c r="F6" s="111"/>
      <c r="G6" s="111"/>
    </row>
    <row r="7" spans="1:12" s="107" customFormat="1" ht="15.75" customHeight="1" x14ac:dyDescent="0.3">
      <c r="A7" s="132" t="s">
        <v>213</v>
      </c>
      <c r="B7" s="131"/>
      <c r="C7" s="131"/>
      <c r="D7" s="131"/>
      <c r="E7" s="131"/>
      <c r="F7" s="111"/>
      <c r="G7" s="111"/>
    </row>
    <row r="8" spans="1:12" s="107" customFormat="1" ht="15.75" customHeight="1" thickBot="1" x14ac:dyDescent="0.35">
      <c r="A8" s="135" t="s">
        <v>214</v>
      </c>
      <c r="B8" s="136"/>
      <c r="C8" s="136"/>
      <c r="D8" s="136"/>
      <c r="E8" s="136"/>
      <c r="F8" s="112"/>
      <c r="G8" s="111"/>
    </row>
    <row r="9" spans="1:12" s="107" customFormat="1" ht="15.75" customHeight="1" x14ac:dyDescent="0.3">
      <c r="A9" s="109"/>
      <c r="B9" s="109"/>
      <c r="C9" s="109"/>
      <c r="D9" s="109"/>
      <c r="E9" s="109"/>
      <c r="F9" s="109"/>
      <c r="G9" s="109"/>
    </row>
    <row r="10" spans="1:12" s="107" customFormat="1" ht="15.75" customHeight="1" x14ac:dyDescent="0.3">
      <c r="A10" s="107" t="s">
        <v>215</v>
      </c>
      <c r="B10" s="113">
        <v>2022</v>
      </c>
      <c r="C10" s="107">
        <v>2023</v>
      </c>
      <c r="D10" s="107">
        <v>2024</v>
      </c>
      <c r="E10" s="107">
        <v>2025</v>
      </c>
      <c r="F10" s="107">
        <v>2026</v>
      </c>
    </row>
    <row r="11" spans="1:12" s="107" customFormat="1" ht="15.75" customHeight="1" x14ac:dyDescent="0.3">
      <c r="A11" s="114">
        <v>2</v>
      </c>
    </row>
    <row r="12" spans="1:12" s="107" customFormat="1" ht="15.75" customHeight="1" x14ac:dyDescent="0.3">
      <c r="A12" s="107" t="s">
        <v>216</v>
      </c>
      <c r="B12" s="115">
        <v>6.94</v>
      </c>
      <c r="C12" s="115">
        <v>13.25</v>
      </c>
      <c r="D12" s="115">
        <v>8.35</v>
      </c>
      <c r="E12" s="115">
        <v>5.22</v>
      </c>
      <c r="F12" s="115">
        <v>5.3536001715572157</v>
      </c>
      <c r="G12" s="115"/>
    </row>
    <row r="13" spans="1:12" s="107" customFormat="1" ht="15.75" customHeight="1" x14ac:dyDescent="0.3">
      <c r="A13" s="107" t="s">
        <v>217</v>
      </c>
      <c r="B13" s="115">
        <v>8.01</v>
      </c>
      <c r="C13" s="115">
        <v>13.28</v>
      </c>
      <c r="D13" s="115">
        <v>7.74</v>
      </c>
      <c r="E13" s="115">
        <v>5.28</v>
      </c>
      <c r="F13" s="115">
        <v>5.2900378570263307</v>
      </c>
      <c r="G13" s="115"/>
    </row>
    <row r="14" spans="1:12" s="107" customFormat="1" ht="15.75" customHeight="1" x14ac:dyDescent="0.3">
      <c r="A14" s="107" t="s">
        <v>218</v>
      </c>
      <c r="B14" s="115">
        <v>8.5299999999999994</v>
      </c>
      <c r="C14" s="115">
        <v>13.34</v>
      </c>
      <c r="D14" s="115">
        <v>7.36</v>
      </c>
      <c r="E14" s="115">
        <v>5.09</v>
      </c>
      <c r="F14" s="115">
        <v>5.5589039903634951</v>
      </c>
      <c r="G14" s="115"/>
    </row>
    <row r="15" spans="1:12" s="107" customFormat="1" ht="15.75" customHeight="1" x14ac:dyDescent="0.3">
      <c r="A15" s="107" t="s">
        <v>219</v>
      </c>
      <c r="B15" s="115">
        <v>9.23</v>
      </c>
      <c r="C15" s="115">
        <v>12.82</v>
      </c>
      <c r="D15" s="115">
        <v>7.16</v>
      </c>
      <c r="E15" s="115">
        <v>5.16</v>
      </c>
      <c r="F15" s="115">
        <v>5.6813168258595059</v>
      </c>
      <c r="G15" s="115"/>
    </row>
    <row r="16" spans="1:12" s="107" customFormat="1" ht="15.75" customHeight="1" x14ac:dyDescent="0.3">
      <c r="A16" s="107" t="s">
        <v>220</v>
      </c>
      <c r="B16" s="115">
        <v>9.07</v>
      </c>
      <c r="C16" s="115">
        <v>12.36</v>
      </c>
      <c r="D16" s="115">
        <v>7.16</v>
      </c>
      <c r="E16" s="115">
        <v>5.05</v>
      </c>
      <c r="F16" s="115">
        <v>5.8420822567643471</v>
      </c>
      <c r="G16" s="115"/>
    </row>
    <row r="17" spans="1:12" s="107" customFormat="1" ht="15.75" customHeight="1" x14ac:dyDescent="0.3">
      <c r="A17" s="107" t="s">
        <v>221</v>
      </c>
      <c r="B17" s="115">
        <v>9.67</v>
      </c>
      <c r="C17" s="115">
        <v>12.13</v>
      </c>
      <c r="D17" s="115">
        <v>7.18</v>
      </c>
      <c r="E17" s="115">
        <v>4.82</v>
      </c>
      <c r="F17" s="115" t="s">
        <v>161</v>
      </c>
      <c r="G17" s="115"/>
    </row>
    <row r="18" spans="1:12" s="107" customFormat="1" ht="15.75" customHeight="1" x14ac:dyDescent="0.3">
      <c r="A18" s="107" t="s">
        <v>222</v>
      </c>
      <c r="B18" s="115">
        <v>10.210000000000001</v>
      </c>
      <c r="C18" s="115">
        <v>11.78</v>
      </c>
      <c r="D18" s="115">
        <v>6.86</v>
      </c>
      <c r="E18" s="115">
        <v>4.9000000000000004</v>
      </c>
      <c r="F18" s="115" t="s">
        <v>161</v>
      </c>
      <c r="G18" s="115"/>
    </row>
    <row r="19" spans="1:12" s="107" customFormat="1" ht="15.75" customHeight="1" x14ac:dyDescent="0.3">
      <c r="A19" s="107" t="s">
        <v>223</v>
      </c>
      <c r="B19" s="115">
        <v>10.84</v>
      </c>
      <c r="C19" s="115">
        <v>11.43</v>
      </c>
      <c r="D19" s="115">
        <v>6.12</v>
      </c>
      <c r="E19" s="115">
        <v>5.0999999999999996</v>
      </c>
      <c r="F19" s="115" t="s">
        <v>161</v>
      </c>
      <c r="G19" s="115"/>
    </row>
    <row r="20" spans="1:12" s="107" customFormat="1" ht="15.75" customHeight="1" x14ac:dyDescent="0.3">
      <c r="A20" s="107" t="s">
        <v>224</v>
      </c>
      <c r="B20" s="115">
        <v>11.44</v>
      </c>
      <c r="C20" s="115">
        <v>10.99</v>
      </c>
      <c r="D20" s="115">
        <v>5.81</v>
      </c>
      <c r="E20" s="115">
        <v>5.18</v>
      </c>
      <c r="F20" s="115" t="s">
        <v>161</v>
      </c>
      <c r="G20" s="115"/>
    </row>
    <row r="21" spans="1:12" s="107" customFormat="1" ht="15.75" customHeight="1" x14ac:dyDescent="0.3">
      <c r="A21" s="107" t="s">
        <v>225</v>
      </c>
      <c r="B21" s="115">
        <v>12.22</v>
      </c>
      <c r="C21" s="115">
        <v>10.48</v>
      </c>
      <c r="D21" s="115">
        <v>5.41</v>
      </c>
      <c r="E21" s="115">
        <v>5.51</v>
      </c>
      <c r="F21" s="115" t="s">
        <v>161</v>
      </c>
      <c r="G21" s="115"/>
    </row>
    <row r="22" spans="1:12" s="107" customFormat="1" ht="15.75" customHeight="1" x14ac:dyDescent="0.3">
      <c r="A22" s="107" t="s">
        <v>226</v>
      </c>
      <c r="B22" s="115">
        <v>12.53</v>
      </c>
      <c r="C22" s="115">
        <v>10.15</v>
      </c>
      <c r="D22" s="115">
        <v>5.2</v>
      </c>
      <c r="E22" s="115">
        <v>5.3</v>
      </c>
      <c r="F22" s="115" t="s">
        <v>161</v>
      </c>
      <c r="G22" s="115"/>
    </row>
    <row r="23" spans="1:12" s="107" customFormat="1" ht="15.75" customHeight="1" x14ac:dyDescent="0.3">
      <c r="A23" s="107" t="s">
        <v>227</v>
      </c>
      <c r="B23" s="115">
        <v>13.12</v>
      </c>
      <c r="C23" s="115">
        <v>9.2799999999999994</v>
      </c>
      <c r="D23" s="115">
        <v>5.2</v>
      </c>
      <c r="E23" s="115">
        <v>5.0999999999999996</v>
      </c>
      <c r="F23" s="115"/>
      <c r="G23" s="115"/>
    </row>
    <row r="24" spans="1:12" s="107" customFormat="1" ht="15.75" customHeight="1" x14ac:dyDescent="0.3"/>
    <row r="25" spans="1:12" s="107" customFormat="1" ht="15.75" customHeight="1" thickBot="1" x14ac:dyDescent="0.35">
      <c r="A25" s="116" t="s">
        <v>228</v>
      </c>
      <c r="B25" s="116"/>
      <c r="C25" s="116"/>
      <c r="D25" s="116"/>
      <c r="E25" s="116"/>
      <c r="F25" s="116"/>
      <c r="G25" s="116"/>
      <c r="H25" s="116"/>
      <c r="I25" s="116"/>
      <c r="J25" s="116"/>
      <c r="K25" s="116"/>
      <c r="L25" s="116"/>
    </row>
    <row r="26" spans="1:12" s="107" customFormat="1" ht="15.75" customHeight="1" x14ac:dyDescent="0.3"/>
    <row r="27" spans="1:12" s="107" customFormat="1" ht="15.75" customHeight="1" x14ac:dyDescent="0.3">
      <c r="A27" s="133" t="s">
        <v>229</v>
      </c>
      <c r="B27" s="131"/>
      <c r="C27" s="131"/>
      <c r="D27" s="131"/>
      <c r="E27" s="131"/>
      <c r="F27" s="110"/>
      <c r="G27" s="110"/>
      <c r="H27" s="110" t="s">
        <v>230</v>
      </c>
      <c r="I27" s="110"/>
      <c r="J27" s="110"/>
      <c r="K27" s="110"/>
      <c r="L27" s="110"/>
    </row>
    <row r="28" spans="1:12" s="107" customFormat="1" ht="15.75" customHeight="1" x14ac:dyDescent="0.3">
      <c r="A28" s="134" t="s">
        <v>231</v>
      </c>
      <c r="B28" s="131"/>
      <c r="C28" s="131"/>
      <c r="D28" s="131"/>
      <c r="E28" s="131"/>
      <c r="F28" s="131"/>
      <c r="G28" s="111"/>
    </row>
    <row r="29" spans="1:12" s="107" customFormat="1" ht="15.75" customHeight="1" x14ac:dyDescent="0.3">
      <c r="A29" s="134" t="s">
        <v>232</v>
      </c>
      <c r="B29" s="131"/>
      <c r="C29" s="131"/>
      <c r="D29" s="131"/>
      <c r="E29" s="131"/>
      <c r="F29" s="111"/>
      <c r="G29" s="111"/>
    </row>
    <row r="30" spans="1:12" s="107" customFormat="1" ht="15.75" customHeight="1" thickBot="1" x14ac:dyDescent="0.35">
      <c r="A30" s="135" t="s">
        <v>214</v>
      </c>
      <c r="B30" s="136"/>
      <c r="C30" s="136"/>
      <c r="D30" s="136"/>
      <c r="E30" s="136"/>
      <c r="F30" s="112"/>
      <c r="G30" s="111"/>
    </row>
    <row r="31" spans="1:12" s="107" customFormat="1" ht="15.75" customHeight="1" x14ac:dyDescent="0.3"/>
    <row r="32" spans="1:12" s="107" customFormat="1" ht="15.75" customHeight="1" x14ac:dyDescent="0.3">
      <c r="A32" s="107" t="s">
        <v>215</v>
      </c>
      <c r="B32" s="107">
        <v>2022</v>
      </c>
      <c r="C32" s="107">
        <v>2023</v>
      </c>
      <c r="D32" s="107">
        <v>2024</v>
      </c>
      <c r="E32" s="107">
        <v>2025</v>
      </c>
      <c r="F32" s="107">
        <v>2026</v>
      </c>
    </row>
    <row r="33" spans="1:12" s="107" customFormat="1" ht="15.75" customHeight="1" x14ac:dyDescent="0.3">
      <c r="A33" s="114">
        <v>3</v>
      </c>
    </row>
    <row r="34" spans="1:12" s="107" customFormat="1" ht="15.75" customHeight="1" x14ac:dyDescent="0.3">
      <c r="A34" s="107" t="s">
        <v>216</v>
      </c>
      <c r="B34" s="115">
        <v>4.37</v>
      </c>
      <c r="C34" s="115">
        <v>12.83</v>
      </c>
      <c r="D34" s="115">
        <v>12.4</v>
      </c>
      <c r="E34" s="115">
        <v>9.24</v>
      </c>
      <c r="F34" s="115">
        <v>10.08</v>
      </c>
      <c r="G34" s="115"/>
    </row>
    <row r="35" spans="1:12" s="107" customFormat="1" ht="15.75" customHeight="1" x14ac:dyDescent="0.3">
      <c r="A35" s="107" t="s">
        <v>217</v>
      </c>
      <c r="B35" s="115">
        <v>5.26</v>
      </c>
      <c r="C35" s="115">
        <v>13.07</v>
      </c>
      <c r="D35" s="115">
        <v>12.23</v>
      </c>
      <c r="E35" s="115">
        <v>9.2899999999999991</v>
      </c>
      <c r="F35" s="115">
        <v>11.14</v>
      </c>
      <c r="G35" s="115"/>
    </row>
    <row r="36" spans="1:12" s="107" customFormat="1" ht="15.75" customHeight="1" x14ac:dyDescent="0.3">
      <c r="A36" s="107" t="s">
        <v>218</v>
      </c>
      <c r="B36" s="115">
        <v>6.35</v>
      </c>
      <c r="C36" s="115">
        <v>13.01</v>
      </c>
      <c r="D36" s="115">
        <v>11.83</v>
      </c>
      <c r="E36" s="115">
        <v>9.33</v>
      </c>
      <c r="F36" s="115">
        <v>11.65</v>
      </c>
      <c r="G36" s="115"/>
    </row>
    <row r="37" spans="1:12" s="107" customFormat="1" ht="15.75" customHeight="1" x14ac:dyDescent="0.3">
      <c r="A37" s="107" t="s">
        <v>219</v>
      </c>
      <c r="B37" s="115">
        <v>6.46</v>
      </c>
      <c r="C37" s="115">
        <v>13.15</v>
      </c>
      <c r="D37" s="115">
        <v>11.56</v>
      </c>
      <c r="E37" s="115">
        <v>9.39</v>
      </c>
      <c r="F37" s="115">
        <v>12.121</v>
      </c>
      <c r="G37" s="115"/>
    </row>
    <row r="38" spans="1:12" s="107" customFormat="1" ht="15.75" customHeight="1" x14ac:dyDescent="0.3">
      <c r="A38" s="107" t="s">
        <v>220</v>
      </c>
      <c r="B38" s="115">
        <v>7.23</v>
      </c>
      <c r="C38" s="115">
        <v>13.24</v>
      </c>
      <c r="D38" s="115">
        <v>11.17</v>
      </c>
      <c r="E38" s="115">
        <v>9.14</v>
      </c>
      <c r="F38" s="115">
        <v>11.909000000000001</v>
      </c>
      <c r="G38" s="115"/>
    </row>
    <row r="39" spans="1:12" s="107" customFormat="1" ht="15.75" customHeight="1" x14ac:dyDescent="0.3">
      <c r="A39" s="107" t="s">
        <v>221</v>
      </c>
      <c r="B39" s="115">
        <v>8.33</v>
      </c>
      <c r="C39" s="115">
        <v>13.25</v>
      </c>
      <c r="D39" s="115">
        <v>10.87</v>
      </c>
      <c r="E39" s="115">
        <v>9.11</v>
      </c>
      <c r="F39" s="115">
        <v>12.154</v>
      </c>
      <c r="G39" s="115"/>
    </row>
    <row r="40" spans="1:12" s="107" customFormat="1" ht="15.75" customHeight="1" x14ac:dyDescent="0.3">
      <c r="A40" s="107" t="s">
        <v>222</v>
      </c>
      <c r="B40" s="115">
        <v>9.2799999999999994</v>
      </c>
      <c r="C40" s="115">
        <v>13.11</v>
      </c>
      <c r="D40" s="115">
        <v>10.52</v>
      </c>
      <c r="E40" s="115">
        <v>9.02</v>
      </c>
      <c r="F40" s="115" t="s">
        <v>161</v>
      </c>
      <c r="G40" s="115"/>
    </row>
    <row r="41" spans="1:12" s="107" customFormat="1" ht="15.75" customHeight="1" x14ac:dyDescent="0.3">
      <c r="A41" s="107" t="s">
        <v>223</v>
      </c>
      <c r="B41" s="115">
        <v>9.98</v>
      </c>
      <c r="C41" s="115">
        <v>13.11</v>
      </c>
      <c r="D41" s="115">
        <v>10.18</v>
      </c>
      <c r="E41" s="115">
        <v>9.18</v>
      </c>
      <c r="F41" s="115" t="s">
        <v>161</v>
      </c>
      <c r="G41" s="115"/>
    </row>
    <row r="42" spans="1:12" s="107" customFormat="1" ht="15.75" customHeight="1" x14ac:dyDescent="0.3">
      <c r="A42" s="107" t="s">
        <v>224</v>
      </c>
      <c r="B42" s="115">
        <v>10.71</v>
      </c>
      <c r="C42" s="115">
        <v>13.09</v>
      </c>
      <c r="D42" s="115">
        <v>9.7200000000000006</v>
      </c>
      <c r="E42" s="115">
        <v>9.2100000000000009</v>
      </c>
      <c r="F42" s="115" t="s">
        <v>161</v>
      </c>
      <c r="G42" s="115"/>
    </row>
    <row r="43" spans="1:12" s="107" customFormat="1" ht="15.75" customHeight="1" x14ac:dyDescent="0.3">
      <c r="A43" s="107" t="s">
        <v>225</v>
      </c>
      <c r="B43" s="115">
        <v>11.45</v>
      </c>
      <c r="C43" s="115">
        <v>13.09</v>
      </c>
      <c r="D43" s="115">
        <v>9.4499999999999993</v>
      </c>
      <c r="E43" s="115">
        <v>9.2799999999999994</v>
      </c>
      <c r="F43" s="115" t="s">
        <v>161</v>
      </c>
      <c r="G43" s="115"/>
    </row>
    <row r="44" spans="1:12" s="107" customFormat="1" ht="15.75" customHeight="1" x14ac:dyDescent="0.3">
      <c r="A44" s="107" t="s">
        <v>226</v>
      </c>
      <c r="B44" s="115">
        <v>11.72</v>
      </c>
      <c r="C44" s="115">
        <v>12.92</v>
      </c>
      <c r="D44" s="115">
        <v>9.25</v>
      </c>
      <c r="E44" s="115">
        <v>9.4700000000000006</v>
      </c>
      <c r="F44" s="115" t="s">
        <v>161</v>
      </c>
      <c r="G44" s="115"/>
    </row>
    <row r="45" spans="1:12" s="107" customFormat="1" ht="15.75" customHeight="1" x14ac:dyDescent="0.3">
      <c r="A45" s="107" t="s">
        <v>227</v>
      </c>
      <c r="B45" s="115">
        <v>12.36</v>
      </c>
      <c r="C45" s="115">
        <v>12.71</v>
      </c>
      <c r="D45" s="115">
        <v>9.4</v>
      </c>
      <c r="E45" s="115">
        <v>9.8800000000000008</v>
      </c>
      <c r="F45" s="115" t="s">
        <v>161</v>
      </c>
      <c r="G45" s="115"/>
    </row>
    <row r="46" spans="1:12" s="107" customFormat="1" ht="15.75" customHeight="1" x14ac:dyDescent="0.3">
      <c r="A46" s="113"/>
      <c r="B46" s="117"/>
      <c r="C46" s="117"/>
      <c r="D46" s="117"/>
      <c r="E46" s="117"/>
      <c r="F46" s="113"/>
      <c r="G46" s="117"/>
      <c r="H46" s="113"/>
      <c r="I46" s="113"/>
      <c r="J46" s="113"/>
      <c r="K46" s="113"/>
      <c r="L46" s="113"/>
    </row>
    <row r="47" spans="1:12" s="107" customFormat="1" ht="15.75" customHeight="1" thickBot="1" x14ac:dyDescent="0.35">
      <c r="A47" s="118" t="s">
        <v>233</v>
      </c>
      <c r="B47" s="119"/>
      <c r="C47" s="119"/>
      <c r="D47" s="119"/>
      <c r="E47" s="119"/>
      <c r="F47" s="118"/>
      <c r="G47" s="119"/>
      <c r="H47" s="118"/>
      <c r="I47" s="118"/>
      <c r="J47" s="118"/>
      <c r="K47" s="118"/>
      <c r="L47" s="118"/>
    </row>
    <row r="48" spans="1:12" s="107" customFormat="1" ht="15.75" customHeight="1" x14ac:dyDescent="0.3">
      <c r="B48" s="115"/>
      <c r="C48" s="115"/>
      <c r="D48" s="115"/>
      <c r="E48" s="115"/>
      <c r="G48" s="115"/>
      <c r="H48" s="107" t="s">
        <v>203</v>
      </c>
    </row>
    <row r="49" spans="1:12" s="107" customFormat="1" ht="15.75" customHeight="1" x14ac:dyDescent="0.3">
      <c r="A49" s="133" t="s">
        <v>234</v>
      </c>
      <c r="B49" s="131"/>
      <c r="C49" s="131"/>
      <c r="D49" s="131"/>
      <c r="E49" s="131"/>
      <c r="F49" s="110"/>
      <c r="G49" s="110"/>
      <c r="H49" s="110" t="s">
        <v>235</v>
      </c>
      <c r="I49" s="110"/>
      <c r="J49" s="110"/>
      <c r="K49" s="110"/>
      <c r="L49" s="110"/>
    </row>
    <row r="50" spans="1:12" s="107" customFormat="1" ht="15.75" customHeight="1" x14ac:dyDescent="0.3">
      <c r="A50" s="132" t="s">
        <v>236</v>
      </c>
      <c r="B50" s="131"/>
      <c r="C50" s="131"/>
      <c r="D50" s="131"/>
      <c r="E50" s="131"/>
      <c r="F50" s="111"/>
      <c r="G50" s="111"/>
    </row>
    <row r="51" spans="1:12" s="107" customFormat="1" ht="15.75" customHeight="1" x14ac:dyDescent="0.3">
      <c r="A51" s="132" t="s">
        <v>237</v>
      </c>
      <c r="B51" s="131"/>
      <c r="C51" s="131"/>
      <c r="D51" s="131"/>
      <c r="E51" s="131"/>
      <c r="F51" s="111"/>
      <c r="G51" s="111"/>
    </row>
    <row r="52" spans="1:12" s="107" customFormat="1" ht="15.75" customHeight="1" thickBot="1" x14ac:dyDescent="0.35">
      <c r="A52" s="137" t="s">
        <v>238</v>
      </c>
      <c r="B52" s="136"/>
      <c r="C52" s="136"/>
      <c r="D52" s="136"/>
      <c r="E52" s="136"/>
      <c r="F52" s="120"/>
      <c r="G52" s="109"/>
      <c r="H52" s="134"/>
      <c r="I52" s="131"/>
      <c r="J52" s="131"/>
      <c r="K52" s="131"/>
      <c r="L52" s="131"/>
    </row>
    <row r="53" spans="1:12" s="107" customFormat="1" ht="15.75" customHeight="1" x14ac:dyDescent="0.3"/>
    <row r="54" spans="1:12" s="107" customFormat="1" ht="15.75" customHeight="1" x14ac:dyDescent="0.3">
      <c r="A54" s="107" t="s">
        <v>215</v>
      </c>
      <c r="B54" s="107">
        <v>2022</v>
      </c>
      <c r="C54" s="107">
        <v>2023</v>
      </c>
      <c r="D54" s="107">
        <v>2024</v>
      </c>
      <c r="E54" s="107">
        <v>2025</v>
      </c>
      <c r="F54" s="107">
        <v>2026</v>
      </c>
    </row>
    <row r="55" spans="1:12" s="107" customFormat="1" ht="15.75" customHeight="1" x14ac:dyDescent="0.3">
      <c r="A55" s="114">
        <v>4</v>
      </c>
    </row>
    <row r="56" spans="1:12" s="107" customFormat="1" ht="15.75" customHeight="1" x14ac:dyDescent="0.3">
      <c r="A56" s="107" t="s">
        <v>216</v>
      </c>
      <c r="B56" s="99">
        <v>3982.6</v>
      </c>
      <c r="C56" s="99">
        <v>4632.2</v>
      </c>
      <c r="D56" s="99">
        <v>3925.6</v>
      </c>
      <c r="E56" s="99">
        <v>4170.01</v>
      </c>
      <c r="F56" s="99">
        <v>3670.47</v>
      </c>
      <c r="G56" s="115"/>
      <c r="H56" s="138"/>
      <c r="I56" s="131"/>
      <c r="J56" s="131"/>
      <c r="K56" s="131"/>
      <c r="L56" s="131"/>
    </row>
    <row r="57" spans="1:12" s="107" customFormat="1" ht="15.75" customHeight="1" x14ac:dyDescent="0.3">
      <c r="A57" s="107" t="s">
        <v>217</v>
      </c>
      <c r="B57" s="99">
        <v>3910.64</v>
      </c>
      <c r="C57" s="99">
        <v>4808.1400000000003</v>
      </c>
      <c r="D57" s="99">
        <v>3933.56</v>
      </c>
      <c r="E57" s="99">
        <v>4120.1099999999997</v>
      </c>
      <c r="F57" s="99">
        <v>3766.3</v>
      </c>
      <c r="G57" s="115"/>
    </row>
    <row r="58" spans="1:12" s="107" customFormat="1" ht="15.75" customHeight="1" x14ac:dyDescent="0.3">
      <c r="A58" s="107" t="s">
        <v>218</v>
      </c>
      <c r="B58" s="99">
        <v>3748.15</v>
      </c>
      <c r="C58" s="99">
        <v>4627.2700000000004</v>
      </c>
      <c r="D58" s="99">
        <v>3842.3</v>
      </c>
      <c r="E58" s="99">
        <v>4192.57</v>
      </c>
      <c r="F58" s="99">
        <v>3669.96</v>
      </c>
      <c r="G58" s="115"/>
    </row>
    <row r="59" spans="1:12" s="107" customFormat="1" ht="15.75" customHeight="1" x14ac:dyDescent="0.3">
      <c r="A59" s="107" t="s">
        <v>219</v>
      </c>
      <c r="B59" s="99">
        <v>3966.27</v>
      </c>
      <c r="C59" s="99">
        <v>4669</v>
      </c>
      <c r="D59" s="99">
        <v>3873.44</v>
      </c>
      <c r="E59" s="99">
        <v>4198.83</v>
      </c>
      <c r="F59" s="99">
        <v>3621.86</v>
      </c>
      <c r="G59" s="115"/>
    </row>
    <row r="60" spans="1:12" s="107" customFormat="1" ht="15.75" customHeight="1" x14ac:dyDescent="0.3">
      <c r="A60" s="107" t="s">
        <v>220</v>
      </c>
      <c r="B60" s="99">
        <v>3912.34</v>
      </c>
      <c r="C60" s="99">
        <v>4408.6499999999996</v>
      </c>
      <c r="D60" s="99">
        <v>3874.32</v>
      </c>
      <c r="E60" s="99">
        <v>4148.72</v>
      </c>
      <c r="F60" s="99">
        <v>3678.15</v>
      </c>
      <c r="G60" s="115"/>
    </row>
    <row r="61" spans="1:12" s="107" customFormat="1" ht="15.75" customHeight="1" x14ac:dyDescent="0.3">
      <c r="A61" s="107" t="s">
        <v>221</v>
      </c>
      <c r="B61" s="99">
        <v>4127.47</v>
      </c>
      <c r="C61" s="99">
        <v>4191.28</v>
      </c>
      <c r="D61" s="99">
        <v>4148.04</v>
      </c>
      <c r="E61" s="99">
        <v>4069.67</v>
      </c>
      <c r="F61" s="99">
        <v>3443.59</v>
      </c>
      <c r="G61" s="115"/>
    </row>
    <row r="62" spans="1:12" s="107" customFormat="1" ht="15.75" customHeight="1" x14ac:dyDescent="0.3">
      <c r="A62" s="107" t="s">
        <v>222</v>
      </c>
      <c r="B62" s="99">
        <v>4300.3</v>
      </c>
      <c r="C62" s="99">
        <v>3923.49</v>
      </c>
      <c r="D62" s="99">
        <v>4089.05</v>
      </c>
      <c r="E62" s="99">
        <v>4179.6899999999996</v>
      </c>
      <c r="F62" s="99" t="s">
        <v>161</v>
      </c>
      <c r="G62" s="115"/>
    </row>
    <row r="63" spans="1:12" s="107" customFormat="1" ht="15.75" customHeight="1" x14ac:dyDescent="0.3">
      <c r="A63" s="107" t="s">
        <v>223</v>
      </c>
      <c r="B63" s="99">
        <v>4400.16</v>
      </c>
      <c r="C63" s="99">
        <v>4085.33</v>
      </c>
      <c r="D63" s="99">
        <v>4160.3100000000004</v>
      </c>
      <c r="E63" s="99">
        <v>4018.41</v>
      </c>
      <c r="F63" s="99" t="s">
        <v>161</v>
      </c>
      <c r="G63" s="115"/>
    </row>
    <row r="64" spans="1:12" s="107" customFormat="1" ht="15.75" customHeight="1" x14ac:dyDescent="0.3">
      <c r="A64" s="107" t="s">
        <v>224</v>
      </c>
      <c r="B64" s="99">
        <v>4532.07</v>
      </c>
      <c r="C64" s="99">
        <v>4053.76</v>
      </c>
      <c r="D64" s="99">
        <v>4164.21</v>
      </c>
      <c r="E64" s="99">
        <v>3901.29</v>
      </c>
      <c r="F64" s="99" t="s">
        <v>161</v>
      </c>
      <c r="G64" s="115"/>
    </row>
    <row r="65" spans="1:12" s="107" customFormat="1" ht="15.75" customHeight="1" x14ac:dyDescent="0.3">
      <c r="A65" s="107" t="s">
        <v>225</v>
      </c>
      <c r="B65" s="99">
        <v>4819.12</v>
      </c>
      <c r="C65" s="99">
        <v>4060.83</v>
      </c>
      <c r="D65" s="99">
        <v>4413.46</v>
      </c>
      <c r="E65" s="99">
        <v>3870.42</v>
      </c>
      <c r="F65" s="99" t="s">
        <v>161</v>
      </c>
      <c r="G65" s="115"/>
    </row>
    <row r="66" spans="1:12" s="107" customFormat="1" ht="15.75" customHeight="1" x14ac:dyDescent="0.3">
      <c r="A66" s="107" t="s">
        <v>226</v>
      </c>
      <c r="B66" s="99">
        <v>4809.51</v>
      </c>
      <c r="C66" s="99">
        <v>3980.67</v>
      </c>
      <c r="D66" s="99">
        <v>4419.59</v>
      </c>
      <c r="E66" s="99">
        <v>3744.43</v>
      </c>
      <c r="F66" s="99" t="s">
        <v>161</v>
      </c>
      <c r="G66" s="115"/>
    </row>
    <row r="67" spans="1:12" s="107" customFormat="1" ht="15.75" customHeight="1" x14ac:dyDescent="0.3">
      <c r="A67" s="107" t="s">
        <v>227</v>
      </c>
      <c r="B67" s="99">
        <v>4810.2</v>
      </c>
      <c r="C67" s="99">
        <v>3822.05</v>
      </c>
      <c r="D67" s="99">
        <v>4409.1499999999996</v>
      </c>
      <c r="E67" s="99">
        <v>3757.08</v>
      </c>
      <c r="F67" s="99" t="s">
        <v>161</v>
      </c>
      <c r="G67" s="115"/>
    </row>
    <row r="68" spans="1:12" s="107" customFormat="1" ht="15.75" customHeight="1" x14ac:dyDescent="0.3">
      <c r="B68" s="115"/>
      <c r="C68" s="115"/>
    </row>
    <row r="69" spans="1:12" s="107" customFormat="1" ht="15.75" customHeight="1" thickBot="1" x14ac:dyDescent="0.35">
      <c r="A69" s="116" t="s">
        <v>239</v>
      </c>
      <c r="B69" s="116"/>
      <c r="C69" s="121"/>
      <c r="D69" s="121"/>
      <c r="E69" s="116"/>
      <c r="F69" s="116"/>
      <c r="G69" s="116"/>
      <c r="H69" s="116"/>
      <c r="I69" s="116"/>
      <c r="J69" s="116"/>
      <c r="K69" s="116"/>
      <c r="L69" s="116"/>
    </row>
    <row r="70" spans="1:12" s="107" customFormat="1" ht="15.75" customHeight="1" x14ac:dyDescent="0.3">
      <c r="C70" s="115"/>
      <c r="D70" s="115"/>
    </row>
    <row r="71" spans="1:12" s="107" customFormat="1" ht="15.75" customHeight="1" x14ac:dyDescent="0.3">
      <c r="A71" s="133" t="s">
        <v>240</v>
      </c>
      <c r="B71" s="131"/>
      <c r="C71" s="131"/>
      <c r="D71" s="131"/>
      <c r="E71" s="131"/>
      <c r="F71" s="110"/>
      <c r="G71" s="110"/>
      <c r="H71" s="110" t="s">
        <v>241</v>
      </c>
      <c r="I71" s="110"/>
      <c r="J71" s="110"/>
      <c r="K71" s="110"/>
      <c r="L71" s="110"/>
    </row>
    <row r="72" spans="1:12" s="107" customFormat="1" ht="15.75" customHeight="1" x14ac:dyDescent="0.3">
      <c r="A72" s="132" t="s">
        <v>242</v>
      </c>
      <c r="B72" s="131"/>
      <c r="C72" s="131"/>
      <c r="D72" s="131"/>
      <c r="E72" s="131"/>
      <c r="F72" s="111"/>
      <c r="G72" s="111"/>
    </row>
    <row r="73" spans="1:12" s="107" customFormat="1" ht="15.75" customHeight="1" thickBot="1" x14ac:dyDescent="0.35">
      <c r="A73" s="139" t="s">
        <v>214</v>
      </c>
      <c r="B73" s="136"/>
      <c r="C73" s="136"/>
      <c r="D73" s="136"/>
      <c r="E73" s="136"/>
      <c r="F73" s="120"/>
      <c r="G73" s="109"/>
    </row>
    <row r="74" spans="1:12" s="107" customFormat="1" ht="15.75" customHeight="1" x14ac:dyDescent="0.3">
      <c r="A74" s="107" t="s">
        <v>215</v>
      </c>
      <c r="B74" s="107">
        <v>2022</v>
      </c>
      <c r="C74" s="107">
        <v>2023</v>
      </c>
      <c r="D74" s="107">
        <v>2024</v>
      </c>
      <c r="E74" s="107">
        <v>2025</v>
      </c>
      <c r="F74" s="107">
        <v>2026</v>
      </c>
    </row>
    <row r="75" spans="1:12" s="107" customFormat="1" ht="15.75" customHeight="1" x14ac:dyDescent="0.3">
      <c r="A75" s="114">
        <v>5</v>
      </c>
    </row>
    <row r="76" spans="1:12" s="107" customFormat="1" ht="15.75" customHeight="1" x14ac:dyDescent="0.3">
      <c r="A76" s="107" t="s">
        <v>216</v>
      </c>
      <c r="B76" s="115">
        <v>11.89</v>
      </c>
      <c r="C76" s="115">
        <v>16.309999999999999</v>
      </c>
      <c r="D76" s="115">
        <v>-15.25</v>
      </c>
      <c r="E76" s="115">
        <v>6.23</v>
      </c>
      <c r="F76" s="115">
        <v>-11.97934777134828</v>
      </c>
      <c r="G76" s="115"/>
    </row>
    <row r="77" spans="1:12" s="107" customFormat="1" ht="15.75" customHeight="1" x14ac:dyDescent="0.3">
      <c r="A77" s="107" t="s">
        <v>217</v>
      </c>
      <c r="B77" s="115">
        <v>7.9</v>
      </c>
      <c r="C77" s="115">
        <v>22.95</v>
      </c>
      <c r="D77" s="115">
        <v>-18.190000000000001</v>
      </c>
      <c r="E77" s="115">
        <v>4.74</v>
      </c>
      <c r="F77" s="115">
        <v>-8.5873920841919134</v>
      </c>
      <c r="G77" s="115"/>
    </row>
    <row r="78" spans="1:12" s="107" customFormat="1" ht="15.75" customHeight="1" x14ac:dyDescent="0.3">
      <c r="A78" s="107" t="s">
        <v>218</v>
      </c>
      <c r="B78" s="115">
        <v>0.3</v>
      </c>
      <c r="C78" s="115">
        <v>23.45</v>
      </c>
      <c r="D78" s="115">
        <v>-16.96</v>
      </c>
      <c r="E78" s="115">
        <v>9.1199999999999992</v>
      </c>
      <c r="F78" s="115">
        <v>-12.46514667614375</v>
      </c>
      <c r="G78" s="115"/>
    </row>
    <row r="79" spans="1:12" s="107" customFormat="1" ht="15.75" customHeight="1" x14ac:dyDescent="0.3">
      <c r="A79" s="107" t="s">
        <v>219</v>
      </c>
      <c r="B79" s="115">
        <v>6.82</v>
      </c>
      <c r="C79" s="115">
        <v>17.72</v>
      </c>
      <c r="D79" s="115">
        <v>-17.04</v>
      </c>
      <c r="E79" s="115">
        <v>8.4</v>
      </c>
      <c r="F79" s="115">
        <v>-13.741208860563541</v>
      </c>
      <c r="G79" s="115"/>
    </row>
    <row r="80" spans="1:12" s="107" customFormat="1" ht="15.75" customHeight="1" x14ac:dyDescent="0.3">
      <c r="A80" s="107" t="s">
        <v>220</v>
      </c>
      <c r="B80" s="115">
        <v>5.3</v>
      </c>
      <c r="C80" s="115">
        <v>12.69</v>
      </c>
      <c r="D80" s="115">
        <v>-12.12</v>
      </c>
      <c r="E80" s="115">
        <v>7.08</v>
      </c>
      <c r="F80" s="115">
        <v>-11.34253456487785</v>
      </c>
      <c r="G80" s="115"/>
    </row>
    <row r="81" spans="1:12" s="107" customFormat="1" ht="15.75" customHeight="1" x14ac:dyDescent="0.3">
      <c r="A81" s="107" t="s">
        <v>221</v>
      </c>
      <c r="B81" s="115">
        <v>9.8699999999999992</v>
      </c>
      <c r="C81" s="115">
        <v>1.55</v>
      </c>
      <c r="D81" s="115">
        <v>-1.03</v>
      </c>
      <c r="E81" s="115">
        <v>-1.89</v>
      </c>
      <c r="F81" s="115">
        <v>-15.384048338071629</v>
      </c>
      <c r="G81" s="115"/>
    </row>
    <row r="82" spans="1:12" s="107" customFormat="1" ht="15.75" customHeight="1" x14ac:dyDescent="0.3">
      <c r="A82" s="107" t="s">
        <v>222</v>
      </c>
      <c r="B82" s="115">
        <v>11.18</v>
      </c>
      <c r="C82" s="115">
        <v>-8.76</v>
      </c>
      <c r="D82" s="115">
        <v>4.22</v>
      </c>
      <c r="E82" s="115">
        <v>2.2200000000000002</v>
      </c>
      <c r="F82" s="115" t="s">
        <v>161</v>
      </c>
      <c r="G82" s="115"/>
    </row>
    <row r="83" spans="1:12" s="107" customFormat="1" ht="15.75" customHeight="1" x14ac:dyDescent="0.3">
      <c r="A83" s="107" t="s">
        <v>223</v>
      </c>
      <c r="B83" s="115">
        <v>15.58</v>
      </c>
      <c r="C83" s="115">
        <v>-7.15</v>
      </c>
      <c r="D83" s="115">
        <v>1.84</v>
      </c>
      <c r="E83" s="115">
        <v>-3.41</v>
      </c>
      <c r="F83" s="115" t="s">
        <v>161</v>
      </c>
      <c r="G83" s="115"/>
    </row>
    <row r="84" spans="1:12" s="107" customFormat="1" ht="15.75" customHeight="1" x14ac:dyDescent="0.3">
      <c r="A84" s="107" t="s">
        <v>224</v>
      </c>
      <c r="B84" s="115">
        <v>18.190000000000001</v>
      </c>
      <c r="C84" s="115">
        <v>-10.55</v>
      </c>
      <c r="D84" s="115">
        <v>2.72</v>
      </c>
      <c r="E84" s="115">
        <v>-6.31</v>
      </c>
      <c r="F84" s="115" t="s">
        <v>161</v>
      </c>
      <c r="G84" s="115"/>
    </row>
    <row r="85" spans="1:12" s="107" customFormat="1" ht="15.75" customHeight="1" x14ac:dyDescent="0.3">
      <c r="A85" s="107" t="s">
        <v>225</v>
      </c>
      <c r="B85" s="115">
        <v>27.34</v>
      </c>
      <c r="C85" s="115">
        <v>-15.74</v>
      </c>
      <c r="D85" s="115">
        <v>8.68</v>
      </c>
      <c r="E85" s="115">
        <v>-12.3</v>
      </c>
      <c r="F85" s="115" t="s">
        <v>161</v>
      </c>
      <c r="G85" s="115"/>
    </row>
    <row r="86" spans="1:12" s="107" customFormat="1" ht="15.75" customHeight="1" x14ac:dyDescent="0.3">
      <c r="A86" s="107" t="s">
        <v>226</v>
      </c>
      <c r="B86" s="115">
        <v>19.91</v>
      </c>
      <c r="C86" s="115">
        <v>-17.23</v>
      </c>
      <c r="D86" s="115">
        <v>11.03</v>
      </c>
      <c r="E86" s="115">
        <v>-15.28</v>
      </c>
      <c r="F86" s="115" t="s">
        <v>161</v>
      </c>
      <c r="G86" s="115"/>
    </row>
    <row r="87" spans="1:12" s="107" customFormat="1" ht="15.75" customHeight="1" x14ac:dyDescent="0.3">
      <c r="A87" s="107" t="s">
        <v>227</v>
      </c>
      <c r="B87" s="115">
        <v>20.82</v>
      </c>
      <c r="C87" s="115">
        <v>-20.54</v>
      </c>
      <c r="D87" s="115">
        <v>15.36</v>
      </c>
      <c r="E87" s="115">
        <v>-14.79</v>
      </c>
      <c r="F87" s="115" t="s">
        <v>161</v>
      </c>
      <c r="G87" s="115"/>
    </row>
    <row r="88" spans="1:12" s="107" customFormat="1" ht="15.75" customHeight="1" x14ac:dyDescent="0.3">
      <c r="B88" s="115"/>
      <c r="C88" s="115"/>
      <c r="D88" s="115"/>
      <c r="E88" s="115"/>
      <c r="F88" s="115"/>
      <c r="G88" s="115"/>
    </row>
    <row r="89" spans="1:12" s="107" customFormat="1" ht="15.75" customHeight="1" x14ac:dyDescent="0.3">
      <c r="B89" s="115"/>
      <c r="C89" s="115"/>
      <c r="D89" s="115"/>
      <c r="E89" s="115"/>
      <c r="F89" s="115"/>
      <c r="G89" s="115"/>
    </row>
    <row r="90" spans="1:12" s="107" customFormat="1" ht="15.75" customHeight="1" thickBot="1" x14ac:dyDescent="0.35">
      <c r="A90" s="116" t="s">
        <v>239</v>
      </c>
      <c r="B90" s="121"/>
      <c r="C90" s="121"/>
      <c r="D90" s="121"/>
      <c r="E90" s="121"/>
      <c r="F90" s="121"/>
      <c r="G90" s="121"/>
      <c r="H90" s="116"/>
      <c r="I90" s="116"/>
      <c r="J90" s="116"/>
      <c r="K90" s="116"/>
      <c r="L90" s="116"/>
    </row>
    <row r="91" spans="1:12" s="107" customFormat="1" ht="15.75" customHeight="1" x14ac:dyDescent="0.3">
      <c r="B91" s="115"/>
      <c r="C91" s="115"/>
      <c r="D91" s="115"/>
      <c r="E91" s="115"/>
      <c r="F91" s="115"/>
      <c r="G91" s="115"/>
    </row>
    <row r="92" spans="1:12" s="107" customFormat="1" ht="15.75" customHeight="1" x14ac:dyDescent="0.3">
      <c r="A92" s="133" t="s">
        <v>243</v>
      </c>
      <c r="B92" s="131"/>
      <c r="C92" s="131"/>
      <c r="D92" s="131"/>
      <c r="E92" s="131"/>
      <c r="F92" s="110"/>
      <c r="G92" s="110"/>
      <c r="H92" s="110" t="s">
        <v>244</v>
      </c>
      <c r="I92" s="110"/>
      <c r="J92" s="110"/>
      <c r="K92" s="110"/>
      <c r="L92" s="110"/>
    </row>
    <row r="93" spans="1:12" s="107" customFormat="1" ht="15.75" customHeight="1" x14ac:dyDescent="0.3">
      <c r="A93" s="132" t="s">
        <v>245</v>
      </c>
      <c r="B93" s="131"/>
      <c r="C93" s="131"/>
      <c r="D93" s="131"/>
      <c r="E93" s="131"/>
      <c r="F93" s="111"/>
      <c r="G93" s="111"/>
    </row>
    <row r="94" spans="1:12" s="107" customFormat="1" ht="15.75" customHeight="1" thickBot="1" x14ac:dyDescent="0.35">
      <c r="A94" s="139" t="s">
        <v>214</v>
      </c>
      <c r="B94" s="136"/>
      <c r="C94" s="136"/>
      <c r="D94" s="136"/>
      <c r="E94" s="136"/>
      <c r="F94" s="120"/>
      <c r="G94" s="109"/>
    </row>
    <row r="95" spans="1:12" s="107" customFormat="1" ht="15.75" customHeight="1" x14ac:dyDescent="0.3"/>
    <row r="96" spans="1:12" s="107" customFormat="1" ht="15.75" customHeight="1" x14ac:dyDescent="0.3">
      <c r="A96" s="107" t="s">
        <v>246</v>
      </c>
      <c r="B96" s="122" t="s">
        <v>247</v>
      </c>
      <c r="C96" s="122" t="s">
        <v>248</v>
      </c>
      <c r="D96" s="122" t="s">
        <v>249</v>
      </c>
      <c r="E96" s="122" t="s">
        <v>250</v>
      </c>
      <c r="F96" s="122" t="s">
        <v>251</v>
      </c>
      <c r="G96" s="109"/>
    </row>
    <row r="97" spans="1:12" s="107" customFormat="1" ht="15.75" customHeight="1" x14ac:dyDescent="0.3">
      <c r="A97" s="109"/>
    </row>
    <row r="98" spans="1:12" s="107" customFormat="1" ht="15.75" customHeight="1" x14ac:dyDescent="0.3">
      <c r="A98" s="114">
        <v>2</v>
      </c>
    </row>
    <row r="99" spans="1:12" s="107" customFormat="1" ht="15.75" customHeight="1" x14ac:dyDescent="0.3">
      <c r="A99" s="123" t="s">
        <v>252</v>
      </c>
      <c r="B99" s="117">
        <v>7.9744849372897404</v>
      </c>
      <c r="C99" s="117">
        <v>2.7093815589989729</v>
      </c>
      <c r="D99" s="117">
        <v>-2.021204353945923E-2</v>
      </c>
      <c r="E99" s="117">
        <v>2.7645388827899922</v>
      </c>
      <c r="F99" s="117">
        <v>2.173279370102382</v>
      </c>
      <c r="G99" s="124"/>
    </row>
    <row r="100" spans="1:12" s="107" customFormat="1" ht="15.75" customHeight="1" x14ac:dyDescent="0.3">
      <c r="A100" s="123" t="s">
        <v>253</v>
      </c>
      <c r="B100" s="117">
        <v>12.33215038188647</v>
      </c>
      <c r="C100" s="117">
        <v>0.41706209186568649</v>
      </c>
      <c r="D100" s="117">
        <v>1.7027690270906679</v>
      </c>
      <c r="E100" s="117">
        <v>1.8291952993814751</v>
      </c>
      <c r="F100" s="117"/>
      <c r="G100" s="124"/>
    </row>
    <row r="101" spans="1:12" s="107" customFormat="1" ht="15.75" customHeight="1" x14ac:dyDescent="0.3">
      <c r="A101" s="123" t="s">
        <v>254</v>
      </c>
      <c r="B101" s="117">
        <v>7.3443381307535009</v>
      </c>
      <c r="C101" s="117">
        <v>-0.39691174127164058</v>
      </c>
      <c r="D101" s="117">
        <v>1.717078187218624</v>
      </c>
      <c r="E101" s="117">
        <v>3.6933131629942189</v>
      </c>
      <c r="F101" s="117"/>
      <c r="G101" s="124"/>
    </row>
    <row r="102" spans="1:12" s="107" customFormat="1" ht="15.75" customHeight="1" x14ac:dyDescent="0.3">
      <c r="A102" s="123" t="s">
        <v>255</v>
      </c>
      <c r="B102" s="117">
        <v>2.1717172392027968</v>
      </c>
      <c r="C102" s="117">
        <v>0.6718294828364515</v>
      </c>
      <c r="D102" s="117">
        <v>2.5804950972347021</v>
      </c>
      <c r="E102" s="117">
        <v>2.0056449690633018</v>
      </c>
      <c r="F102" s="117"/>
      <c r="G102" s="124"/>
    </row>
    <row r="103" spans="1:12" s="107" customFormat="1" ht="15.75" customHeight="1" x14ac:dyDescent="0.3">
      <c r="A103" s="125"/>
      <c r="B103" s="113"/>
      <c r="C103" s="117"/>
      <c r="D103" s="117"/>
      <c r="E103" s="117"/>
      <c r="F103" s="113"/>
    </row>
    <row r="104" spans="1:12" s="107" customFormat="1" ht="15.75" customHeight="1" x14ac:dyDescent="0.3">
      <c r="A104" s="123"/>
      <c r="B104" s="115"/>
    </row>
    <row r="105" spans="1:12" s="107" customFormat="1" ht="15.75" customHeight="1" x14ac:dyDescent="0.3">
      <c r="A105" s="123"/>
      <c r="B105" s="115"/>
    </row>
    <row r="106" spans="1:12" s="107" customFormat="1" ht="15.75" customHeight="1" x14ac:dyDescent="0.3">
      <c r="A106" s="123"/>
      <c r="B106" s="115"/>
    </row>
    <row r="107" spans="1:12" s="107" customFormat="1" ht="15.75" customHeight="1" x14ac:dyDescent="0.3">
      <c r="A107" s="107" t="s">
        <v>256</v>
      </c>
      <c r="B107" s="115"/>
    </row>
    <row r="108" spans="1:12" s="107" customFormat="1" ht="15.75" customHeight="1" x14ac:dyDescent="0.3">
      <c r="B108" s="115"/>
    </row>
    <row r="109" spans="1:12" s="107" customFormat="1" ht="15.75" customHeight="1" x14ac:dyDescent="0.3">
      <c r="A109" s="126" t="s">
        <v>257</v>
      </c>
      <c r="B109" s="115"/>
      <c r="C109" s="115"/>
      <c r="D109" s="115"/>
      <c r="E109" s="115"/>
      <c r="G109" s="115"/>
    </row>
    <row r="110" spans="1:12" s="107" customFormat="1" ht="15.75" customHeight="1" x14ac:dyDescent="0.3">
      <c r="A110" s="107" t="s">
        <v>258</v>
      </c>
      <c r="B110" s="115"/>
      <c r="C110" s="115"/>
      <c r="D110" s="115"/>
      <c r="E110" s="115"/>
      <c r="G110" s="115"/>
    </row>
    <row r="111" spans="1:12" s="107" customFormat="1" ht="15.75" customHeight="1" thickBot="1" x14ac:dyDescent="0.35">
      <c r="A111" s="116" t="s">
        <v>259</v>
      </c>
      <c r="B111" s="116"/>
      <c r="C111" s="116"/>
      <c r="D111" s="116"/>
      <c r="E111" s="116"/>
      <c r="F111" s="116"/>
      <c r="G111" s="116"/>
      <c r="H111" s="116"/>
      <c r="I111" s="116"/>
      <c r="J111" s="116"/>
      <c r="K111" s="116"/>
      <c r="L111" s="116"/>
    </row>
    <row r="112" spans="1:12" s="107" customFormat="1" ht="15.75" customHeight="1" x14ac:dyDescent="0.3"/>
    <row r="113" spans="1:12" s="107" customFormat="1" ht="15.75" customHeight="1" x14ac:dyDescent="0.3">
      <c r="A113" s="133" t="s">
        <v>260</v>
      </c>
      <c r="B113" s="131"/>
      <c r="C113" s="131"/>
      <c r="D113" s="131"/>
      <c r="E113" s="131"/>
      <c r="F113" s="110"/>
      <c r="G113" s="110"/>
      <c r="H113" s="110" t="s">
        <v>261</v>
      </c>
      <c r="I113" s="110"/>
      <c r="J113" s="110"/>
      <c r="K113" s="110"/>
      <c r="L113" s="110"/>
    </row>
    <row r="114" spans="1:12" s="107" customFormat="1" ht="15.75" customHeight="1" x14ac:dyDescent="0.3">
      <c r="A114" s="132" t="s">
        <v>262</v>
      </c>
      <c r="B114" s="131"/>
      <c r="C114" s="131"/>
      <c r="D114" s="131"/>
      <c r="E114" s="131"/>
      <c r="F114" s="111"/>
      <c r="G114" s="111"/>
    </row>
    <row r="115" spans="1:12" s="107" customFormat="1" ht="15.75" customHeight="1" x14ac:dyDescent="0.3">
      <c r="A115" s="133" t="s">
        <v>263</v>
      </c>
      <c r="B115" s="131"/>
      <c r="C115" s="131"/>
      <c r="D115" s="131"/>
      <c r="E115" s="131"/>
      <c r="F115" s="109"/>
      <c r="G115" s="109"/>
    </row>
    <row r="116" spans="1:12" s="107" customFormat="1" ht="15.75" customHeight="1" thickBot="1" x14ac:dyDescent="0.35">
      <c r="A116" s="116"/>
      <c r="B116" s="120"/>
      <c r="C116" s="120" t="s">
        <v>214</v>
      </c>
      <c r="D116" s="120"/>
      <c r="E116" s="120"/>
      <c r="F116" s="120"/>
      <c r="G116" s="109"/>
    </row>
    <row r="117" spans="1:12" s="107" customFormat="1" ht="15.75" customHeight="1" x14ac:dyDescent="0.3"/>
    <row r="118" spans="1:12" s="107" customFormat="1" ht="15.75" customHeight="1" x14ac:dyDescent="0.3">
      <c r="A118" s="107" t="s">
        <v>246</v>
      </c>
      <c r="B118" s="122">
        <v>2022</v>
      </c>
      <c r="C118" s="122">
        <v>2023</v>
      </c>
      <c r="D118" s="122">
        <v>2024</v>
      </c>
      <c r="E118" s="122">
        <v>2025</v>
      </c>
      <c r="F118" s="122">
        <v>2026</v>
      </c>
      <c r="G118" s="109"/>
    </row>
    <row r="119" spans="1:12" s="107" customFormat="1" ht="15.75" customHeight="1" x14ac:dyDescent="0.3">
      <c r="A119" s="114">
        <v>6</v>
      </c>
    </row>
    <row r="120" spans="1:12" s="107" customFormat="1" ht="15.75" customHeight="1" x14ac:dyDescent="0.3">
      <c r="A120" s="107" t="s">
        <v>216</v>
      </c>
      <c r="B120" s="115">
        <v>14.65</v>
      </c>
      <c r="C120" s="115">
        <v>13.7</v>
      </c>
      <c r="D120" s="115">
        <v>12.66</v>
      </c>
      <c r="E120" s="115">
        <v>11.64</v>
      </c>
      <c r="F120" s="115">
        <v>10.85945281420206</v>
      </c>
      <c r="G120" s="125"/>
    </row>
    <row r="121" spans="1:12" s="107" customFormat="1" ht="15.75" customHeight="1" x14ac:dyDescent="0.3">
      <c r="A121" s="107" t="s">
        <v>217</v>
      </c>
      <c r="B121" s="115">
        <v>12.91</v>
      </c>
      <c r="C121" s="115">
        <v>11.35</v>
      </c>
      <c r="D121" s="115">
        <v>11.67</v>
      </c>
      <c r="E121" s="115">
        <v>10.33</v>
      </c>
      <c r="F121" s="115">
        <v>9.234958425182727</v>
      </c>
      <c r="G121" s="127"/>
    </row>
    <row r="122" spans="1:12" s="107" customFormat="1" ht="15.75" customHeight="1" x14ac:dyDescent="0.3">
      <c r="A122" s="107" t="s">
        <v>218</v>
      </c>
      <c r="B122" s="115">
        <v>12.12</v>
      </c>
      <c r="C122" s="115">
        <v>10.029999999999999</v>
      </c>
      <c r="D122" s="115">
        <v>11.29</v>
      </c>
      <c r="E122" s="115">
        <v>9.6199999999999992</v>
      </c>
      <c r="F122" s="115">
        <v>8.7933861147571992</v>
      </c>
      <c r="G122" s="127"/>
    </row>
    <row r="123" spans="1:12" s="107" customFormat="1" ht="15.75" customHeight="1" x14ac:dyDescent="0.3">
      <c r="A123" s="107" t="s">
        <v>219</v>
      </c>
      <c r="B123" s="115">
        <v>11.17</v>
      </c>
      <c r="C123" s="115">
        <v>10.72</v>
      </c>
      <c r="D123" s="115">
        <v>10.65</v>
      </c>
      <c r="E123" s="115">
        <v>8.7799999999999994</v>
      </c>
      <c r="F123" s="128">
        <v>8.7814568020438806</v>
      </c>
      <c r="G123" s="127"/>
    </row>
    <row r="124" spans="1:12" s="107" customFormat="1" ht="15.75" customHeight="1" x14ac:dyDescent="0.3">
      <c r="A124" s="107" t="s">
        <v>220</v>
      </c>
      <c r="B124" s="115">
        <v>10.65</v>
      </c>
      <c r="C124" s="115">
        <v>10.48</v>
      </c>
      <c r="D124" s="115">
        <v>10.31</v>
      </c>
      <c r="E124" s="115">
        <v>9.0399999999999991</v>
      </c>
      <c r="F124" s="115">
        <v>8.0206511267912095</v>
      </c>
      <c r="G124" s="127"/>
    </row>
    <row r="125" spans="1:12" s="107" customFormat="1" ht="15.75" customHeight="1" x14ac:dyDescent="0.3">
      <c r="A125" s="107" t="s">
        <v>221</v>
      </c>
      <c r="B125" s="115">
        <v>11.26</v>
      </c>
      <c r="C125" s="115">
        <v>9.34</v>
      </c>
      <c r="D125" s="115">
        <v>10.27</v>
      </c>
      <c r="E125" s="115">
        <v>8.5500000000000007</v>
      </c>
      <c r="F125" s="115" t="s">
        <v>161</v>
      </c>
    </row>
    <row r="126" spans="1:12" s="107" customFormat="1" ht="15.75" customHeight="1" x14ac:dyDescent="0.3">
      <c r="A126" s="107" t="s">
        <v>222</v>
      </c>
      <c r="B126" s="115">
        <v>10.99</v>
      </c>
      <c r="C126" s="115">
        <v>9.57</v>
      </c>
      <c r="D126" s="115">
        <v>9.92</v>
      </c>
      <c r="E126" s="115">
        <v>8.84</v>
      </c>
      <c r="F126" s="115" t="s">
        <v>161</v>
      </c>
    </row>
    <row r="127" spans="1:12" s="107" customFormat="1" ht="15.75" customHeight="1" x14ac:dyDescent="0.3">
      <c r="A127" s="107" t="s">
        <v>223</v>
      </c>
      <c r="B127" s="115">
        <v>10.63</v>
      </c>
      <c r="C127" s="115">
        <v>9.2799999999999994</v>
      </c>
      <c r="D127" s="115">
        <v>9.66</v>
      </c>
      <c r="E127" s="115">
        <v>8.6</v>
      </c>
      <c r="F127" s="115" t="s">
        <v>161</v>
      </c>
    </row>
    <row r="128" spans="1:12" s="107" customFormat="1" ht="15.75" customHeight="1" x14ac:dyDescent="0.3">
      <c r="A128" s="107" t="s">
        <v>224</v>
      </c>
      <c r="B128" s="115">
        <v>10.75</v>
      </c>
      <c r="C128" s="115">
        <v>9.25</v>
      </c>
      <c r="D128" s="115">
        <v>9.1300000000000008</v>
      </c>
      <c r="E128" s="115">
        <v>8.17</v>
      </c>
      <c r="F128" s="115" t="s">
        <v>161</v>
      </c>
    </row>
    <row r="129" spans="1:12" s="107" customFormat="1" ht="15.75" customHeight="1" x14ac:dyDescent="0.3">
      <c r="A129" s="107" t="s">
        <v>225</v>
      </c>
      <c r="B129" s="115">
        <v>9.7200000000000006</v>
      </c>
      <c r="C129" s="115">
        <v>9.23</v>
      </c>
      <c r="D129" s="115">
        <v>9.1300000000000008</v>
      </c>
      <c r="E129" s="115">
        <v>8.1999999999999993</v>
      </c>
      <c r="F129" s="115" t="s">
        <v>161</v>
      </c>
    </row>
    <row r="130" spans="1:12" s="107" customFormat="1" ht="15.75" customHeight="1" x14ac:dyDescent="0.3">
      <c r="A130" s="107" t="s">
        <v>226</v>
      </c>
      <c r="B130" s="115">
        <v>9.5</v>
      </c>
      <c r="C130" s="115">
        <v>9.01</v>
      </c>
      <c r="D130" s="115">
        <v>8.17</v>
      </c>
      <c r="E130" s="115">
        <v>7.02</v>
      </c>
      <c r="F130" s="115" t="s">
        <v>161</v>
      </c>
    </row>
    <row r="131" spans="1:12" s="107" customFormat="1" ht="15.75" customHeight="1" x14ac:dyDescent="0.3">
      <c r="A131" s="107" t="s">
        <v>227</v>
      </c>
      <c r="B131" s="115">
        <v>10.27</v>
      </c>
      <c r="C131" s="115">
        <v>10.01</v>
      </c>
      <c r="D131" s="115">
        <v>9.1300000000000008</v>
      </c>
      <c r="E131" s="115">
        <v>7.98</v>
      </c>
      <c r="F131" s="115"/>
    </row>
    <row r="132" spans="1:12" s="107" customFormat="1" ht="15.75" customHeight="1" x14ac:dyDescent="0.3"/>
    <row r="133" spans="1:12" s="107" customFormat="1" ht="15.75" customHeight="1" thickBot="1" x14ac:dyDescent="0.35">
      <c r="A133" s="116" t="s">
        <v>228</v>
      </c>
      <c r="B133" s="116"/>
      <c r="C133" s="116"/>
      <c r="D133" s="116"/>
      <c r="E133" s="116"/>
      <c r="F133" s="116"/>
      <c r="G133" s="116"/>
      <c r="H133" s="116"/>
      <c r="I133" s="116"/>
      <c r="J133" s="116"/>
      <c r="K133" s="116"/>
      <c r="L133" s="116"/>
    </row>
    <row r="134" spans="1:12" s="107" customFormat="1" ht="15.75" customHeight="1" x14ac:dyDescent="0.3">
      <c r="A134" s="125"/>
    </row>
    <row r="314" spans="13:13" ht="15.75" customHeight="1" x14ac:dyDescent="0.3">
      <c r="M314" s="100"/>
    </row>
    <row r="315" spans="13:13" ht="15.75" customHeight="1" x14ac:dyDescent="0.3">
      <c r="M315" s="100"/>
    </row>
    <row r="316" spans="13:13" ht="15.75" customHeight="1" x14ac:dyDescent="0.3">
      <c r="M316" s="100"/>
    </row>
    <row r="317" spans="13:13" ht="15.75" customHeight="1" x14ac:dyDescent="0.3">
      <c r="M317" s="100"/>
    </row>
    <row r="318" spans="13:13" ht="15.75" customHeight="1" x14ac:dyDescent="0.3">
      <c r="M318" s="100"/>
    </row>
    <row r="319" spans="13:13" ht="15.75" customHeight="1" x14ac:dyDescent="0.3">
      <c r="M319" s="100"/>
    </row>
    <row r="326" spans="12:13" ht="15.75" customHeight="1" x14ac:dyDescent="0.3">
      <c r="L326" s="101"/>
      <c r="M326" s="117"/>
    </row>
    <row r="327" spans="12:13" ht="15.75" customHeight="1" x14ac:dyDescent="0.3">
      <c r="L327" s="101"/>
      <c r="M327" s="117"/>
    </row>
    <row r="328" spans="12:13" ht="15.75" customHeight="1" x14ac:dyDescent="0.3">
      <c r="L328" s="101"/>
      <c r="M328" s="117"/>
    </row>
    <row r="329" spans="12:13" ht="15.75" customHeight="1" x14ac:dyDescent="0.3">
      <c r="L329" s="101"/>
      <c r="M329" s="117"/>
    </row>
    <row r="330" spans="12:13" ht="15.75" customHeight="1" x14ac:dyDescent="0.3">
      <c r="L330" s="101"/>
      <c r="M330" s="117"/>
    </row>
    <row r="331" spans="12:13" ht="15.75" customHeight="1" x14ac:dyDescent="0.3">
      <c r="L331" s="101"/>
      <c r="M331" s="117"/>
    </row>
    <row r="332" spans="12:13" ht="15.75" customHeight="1" x14ac:dyDescent="0.3">
      <c r="L332" s="101"/>
      <c r="M332" s="117"/>
    </row>
  </sheetData>
  <mergeCells count="24">
    <mergeCell ref="A115:E115"/>
    <mergeCell ref="A93:E93"/>
    <mergeCell ref="A92:E92"/>
    <mergeCell ref="A6:E6"/>
    <mergeCell ref="H56:L56"/>
    <mergeCell ref="A114:E114"/>
    <mergeCell ref="A73:E73"/>
    <mergeCell ref="A94:E94"/>
    <mergeCell ref="A113:E113"/>
    <mergeCell ref="A71:E71"/>
    <mergeCell ref="A72:E72"/>
    <mergeCell ref="E4:I4"/>
    <mergeCell ref="A7:E7"/>
    <mergeCell ref="A27:E27"/>
    <mergeCell ref="H52:L52"/>
    <mergeCell ref="A50:E50"/>
    <mergeCell ref="A28:F28"/>
    <mergeCell ref="A5:E5"/>
    <mergeCell ref="A8:E8"/>
    <mergeCell ref="A29:E29"/>
    <mergeCell ref="A52:E52"/>
    <mergeCell ref="A30:E30"/>
    <mergeCell ref="A51:E51"/>
    <mergeCell ref="A49:E49"/>
  </mergeCells>
  <printOptions horizontalCentered="1" verticalCentered="1"/>
  <pageMargins left="0.39370078740157483" right="0.39370078740157483" top="0.39370078740157483" bottom="0.43307086614173229" header="0" footer="0"/>
  <pageSetup scale="83" fitToHeight="2" orientation="portrait" copies="2"/>
  <customProperties>
    <customPr name="_pios_id" r:id="rId1"/>
  </customPropertie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8a320-800f-4cd5-8e49-d5a04fb8d994" xsi:nil="true"/>
    <FechayHora xmlns="76c537a8-023e-4de6-be47-5952794116e0" xsi:nil="true"/>
    <lcf76f155ced4ddcb4097134ff3c332f xmlns="76c537a8-023e-4de6-be47-5952794116e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361CE336D6E6542B103B5F7D623449E" ma:contentTypeVersion="16" ma:contentTypeDescription="Crear nuevo documento." ma:contentTypeScope="" ma:versionID="41a3ca92c386d49275a6496dd53320ba">
  <xsd:schema xmlns:xsd="http://www.w3.org/2001/XMLSchema" xmlns:xs="http://www.w3.org/2001/XMLSchema" xmlns:p="http://schemas.microsoft.com/office/2006/metadata/properties" xmlns:ns2="76c537a8-023e-4de6-be47-5952794116e0" xmlns:ns3="e808a320-800f-4cd5-8e49-d5a04fb8d994" targetNamespace="http://schemas.microsoft.com/office/2006/metadata/properties" ma:root="true" ma:fieldsID="28cc837912ac3198154f7009a7dd5432" ns2:_="" ns3:_="">
    <xsd:import namespace="76c537a8-023e-4de6-be47-5952794116e0"/>
    <xsd:import namespace="e808a320-800f-4cd5-8e49-d5a04fb8d9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FechayHora"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537a8-023e-4de6-be47-5952794116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FechayHora" ma:index="12" nillable="true" ma:displayName="Fecha y Hora" ma:format="DateTime" ma:internalName="FechayHora">
      <xsd:simpleType>
        <xsd:restriction base="dms:DateTim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cf4aa7f9-539a-4a51-bd5f-e5037a50a2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08a320-800f-4cd5-8e49-d5a04fb8d994"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441bbaa7-c777-4c1e-914f-00a4fc810a21}" ma:internalName="TaxCatchAll" ma:showField="CatchAllData" ma:web="e808a320-800f-4cd5-8e49-d5a04fb8d9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82FECA-2418-4B85-A858-AE06BDA67D26}">
  <ds:schemaRefs>
    <ds:schemaRef ds:uri="http://schemas.microsoft.com/office/2006/metadata/properties"/>
    <ds:schemaRef ds:uri="http://schemas.microsoft.com/office/infopath/2007/PartnerControls"/>
    <ds:schemaRef ds:uri="e808a320-800f-4cd5-8e49-d5a04fb8d994"/>
    <ds:schemaRef ds:uri="76c537a8-023e-4de6-be47-5952794116e0"/>
  </ds:schemaRefs>
</ds:datastoreItem>
</file>

<file path=customXml/itemProps2.xml><?xml version="1.0" encoding="utf-8"?>
<ds:datastoreItem xmlns:ds="http://schemas.openxmlformats.org/officeDocument/2006/customXml" ds:itemID="{2E098BEF-AA22-444F-8341-4D9016FB608F}">
  <ds:schemaRefs>
    <ds:schemaRef ds:uri="http://schemas.microsoft.com/sharepoint/v3/contenttype/forms"/>
  </ds:schemaRefs>
</ds:datastoreItem>
</file>

<file path=customXml/itemProps3.xml><?xml version="1.0" encoding="utf-8"?>
<ds:datastoreItem xmlns:ds="http://schemas.openxmlformats.org/officeDocument/2006/customXml" ds:itemID="{DD8C9B7A-1E14-4C61-A69C-3AC92D141D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537a8-023e-4de6-be47-5952794116e0"/>
    <ds:schemaRef ds:uri="e808a320-800f-4cd5-8e49-d5a04fb8d9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2026-06-22T21:51:07Z</dcterms:created>
  <dcterms:modified xsi:type="dcterms:W3CDTF">2026-07-16T21:20:44Z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0x010100E361CE336D6E6542B103B5F7D623449E</vt:lpwstr>
  </property>
  <property fmtid="{D5CDD505-2E9C-101B-9397-08002B2CF9AE}" pid="3" name="MediaServiceImageTags">
    <vt:lpwstr/>
  </property>
</Properties>
</file>